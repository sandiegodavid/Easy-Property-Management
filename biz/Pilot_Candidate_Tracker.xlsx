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cker" sheetId="2" state="visible" r:id="rId4"/>
    <sheet name="Funnel" sheetId="3" state="visible" r:id="rId5"/>
    <sheet name="Rules" sheetId="4" state="visible" r:id="rId6"/>
  </sheets>
  <definedNames>
    <definedName function="false" hidden="false" localSheetId="1" name="_xlnm.Print_Titles" vbProcedure="false">Tracker!$3:$4</definedName>
    <definedName function="false" hidden="true" localSheetId="1" name="_xlnm._FilterDatabase" vbProcedure="false">Tracker!$A$4:$Z$154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<sst xmlns="http://schemas.openxmlformats.org/spreadsheetml/2006/main" count="420" uniqueCount="356">
  <si>
    <t xml:space="preserve">Pilot Candidate Tracker</t>
  </si>
  <si>
    <t xml:space="preserve">Log prospects, screen them, record interviews, and check the go / no-go rule from the interview plan.</t>
  </si>
  <si>
    <t xml:space="preserve">HOW TO USE</t>
  </si>
  <si>
    <t xml:space="preserve">1. Add each prospect on the Tracker sheet, one row each, and fill in the CONTACT columns.</t>
  </si>
  <si>
    <t xml:space="preserve">2. When someone replies, ask the five screener questions (see the screener document). Fill in the SCREENER columns. 'Screener result' fills itself in.</t>
  </si>
  <si>
    <t xml:space="preserve">3. Right after each interview, fill in the INTERVIEW columns while it is fresh.</t>
  </si>
  <si>
    <t xml:space="preserve">4. Open the Funnel sheet weekly for reply rates, follow-ups due, and the decision check.</t>
  </si>
  <si>
    <t xml:space="preserve">WHAT TO EDIT</t>
  </si>
  <si>
    <t xml:space="preserve">Tracker: type in every column except the three gray-header columns (Follow-up due, Screener result, Funnel stage).</t>
  </si>
  <si>
    <t xml:space="preserve">Rules: change the blue numbers on yellow if your criteria change. The lists there feed the dropdowns.</t>
  </si>
  <si>
    <t xml:space="preserve">Funnel: nothing to type.</t>
  </si>
  <si>
    <t xml:space="preserve">HOW 'SCREENER RESULT' WORKS</t>
  </si>
  <si>
    <t xml:space="preserve">Incomplete: fewer than the three screener answers (doors, manages for others, willing) are filled in.</t>
  </si>
  <si>
    <t xml:space="preserve">COLUMN GUIDE (with one example prospect)</t>
  </si>
  <si>
    <t xml:space="preserve">Column</t>
  </si>
  <si>
    <t xml:space="preserve">What to enter</t>
  </si>
  <si>
    <t xml:space="preserve">Example</t>
  </si>
  <si>
    <t xml:space="preserve">ID</t>
  </si>
  <si>
    <t xml:space="preserve">Pre-filled.</t>
  </si>
  <si>
    <t xml:space="preserve">P001</t>
  </si>
  <si>
    <t xml:space="preserve">Name</t>
  </si>
  <si>
    <t xml:space="preserve">The person's name.</t>
  </si>
  <si>
    <t xml:space="preserve">Dana Reyes</t>
  </si>
  <si>
    <t xml:space="preserve">Business</t>
  </si>
  <si>
    <t xml:space="preserve">Company name, or 'Independent'.</t>
  </si>
  <si>
    <t xml:space="preserve">Reyes Rentals</t>
  </si>
  <si>
    <t xml:space="preserve">Source</t>
  </si>
  <si>
    <t xml:space="preserve">Where you found them (dropdown).</t>
  </si>
  <si>
    <t xml:space="preserve">Referral: accountant / bookkeeper</t>
  </si>
  <si>
    <t xml:space="preserve">Channel</t>
  </si>
  <si>
    <t xml:space="preserve">How you first contacted them (dropdown).</t>
  </si>
  <si>
    <t xml:space="preserve">Email</t>
  </si>
  <si>
    <t xml:space="preserve">Contact info</t>
  </si>
  <si>
    <t xml:space="preserve">Email or phone.</t>
  </si>
  <si>
    <t xml:space="preserve">dana@example.com</t>
  </si>
  <si>
    <t xml:space="preserve">Date first contacted</t>
  </si>
  <si>
    <t xml:space="preserve">The date you first reached out.</t>
  </si>
  <si>
    <t xml:space="preserve">Oct 1, 2026</t>
  </si>
  <si>
    <t xml:space="preserve">Follow-up due (auto)</t>
  </si>
  <si>
    <t xml:space="preserve">Calculates: first-contact date plus the follow-up days on Rules, only while Status is 'Contacted'. Turns red when due.</t>
  </si>
  <si>
    <t xml:space="preserve">(blank: they have replied)</t>
  </si>
  <si>
    <t xml:space="preserve">Status</t>
  </si>
  <si>
    <t xml:space="preserve">Where they are now (dropdown). Log people you screen out after they reply as 'Not a fit'.</t>
  </si>
  <si>
    <t xml:space="preserve">Scheduled</t>
  </si>
  <si>
    <t xml:space="preserve">Doors managed</t>
  </si>
  <si>
    <t xml:space="preserve">Number of rentable units, from screener question 1.</t>
  </si>
  <si>
    <t xml:space="preserve">28</t>
  </si>
  <si>
    <t xml:space="preserve">Manages for other owners?</t>
  </si>
  <si>
    <t xml:space="preserve">Yes, Some, or No (question 2).</t>
  </si>
  <si>
    <t xml:space="preserve">Yes</t>
  </si>
  <si>
    <t xml:space="preserve">Current tools</t>
  </si>
  <si>
    <t xml:space="preserve">What they use today (question 3).</t>
  </si>
  <si>
    <t xml:space="preserve">Excel + QuickBooks</t>
  </si>
  <si>
    <t xml:space="preserve">Books handled by</t>
  </si>
  <si>
    <t xml:space="preserve">Who does their books (question 4).</t>
  </si>
  <si>
    <t xml:space="preserve">Bookkeeper</t>
  </si>
  <si>
    <t xml:space="preserve">Willing to do 30 min?</t>
  </si>
  <si>
    <t xml:space="preserve">Question 5.</t>
  </si>
  <si>
    <t xml:space="preserve">Screener result (auto)</t>
  </si>
  <si>
    <t xml:space="preserve">Calculates from doors, manages for others, and willing.</t>
  </si>
  <si>
    <t xml:space="preserve">Qualified</t>
  </si>
  <si>
    <t xml:space="preserve">Interview date</t>
  </si>
  <si>
    <t xml:space="preserve">Date of the call.</t>
  </si>
  <si>
    <t xml:space="preserve">Oct 8, 2026</t>
  </si>
  <si>
    <t xml:space="preserve">Described a recent painful workflow?</t>
  </si>
  <si>
    <t xml:space="preserve">Yes only if they told a specific recent story, not a vague complaint.</t>
  </si>
  <si>
    <t xml:space="preserve">Needs online rent collection to switch?</t>
  </si>
  <si>
    <t xml:space="preserve">Yes, Unsure, or No.</t>
  </si>
  <si>
    <t xml:space="preserve">Unsure</t>
  </si>
  <si>
    <t xml:space="preserve">Deployment preference</t>
  </si>
  <si>
    <t xml:space="preserve">Hosted, Local, Either, or Unsure.</t>
  </si>
  <si>
    <t xml:space="preserve">Hosted</t>
  </si>
  <si>
    <t xml:space="preserve">Paid pilot interest</t>
  </si>
  <si>
    <t xml:space="preserve">Yes, Maybe, or No.</t>
  </si>
  <si>
    <t xml:space="preserve">Maybe</t>
  </si>
  <si>
    <t xml:space="preserve">Price named ($/month)</t>
  </si>
  <si>
    <t xml:space="preserve">The monthly price they said feels fair, as a number.</t>
  </si>
  <si>
    <t xml:space="preserve">60</t>
  </si>
  <si>
    <t xml:space="preserve">Thank-you sent?</t>
  </si>
  <si>
    <t xml:space="preserve">Yes or No.</t>
  </si>
  <si>
    <t xml:space="preserve">No</t>
  </si>
  <si>
    <t xml:space="preserve">Referrals given</t>
  </si>
  <si>
    <t xml:space="preserve">How many names they offered.</t>
  </si>
  <si>
    <t xml:space="preserve">2</t>
  </si>
  <si>
    <t xml:space="preserve">Next action</t>
  </si>
  <si>
    <t xml:space="preserve">What you will do next.</t>
  </si>
  <si>
    <t xml:space="preserve">Send pilot offer</t>
  </si>
  <si>
    <t xml:space="preserve">Notes</t>
  </si>
  <si>
    <t xml:space="preserve">Business facts only. Avoid sensitive personal details.</t>
  </si>
  <si>
    <t xml:space="preserve">Prefers phone over email</t>
  </si>
  <si>
    <t xml:space="preserve">Funnel stage (auto)</t>
  </si>
  <si>
    <t xml:space="preserve">Calculates from Status (see Rules).</t>
  </si>
  <si>
    <t xml:space="preserve">3</t>
  </si>
  <si>
    <t xml:space="preserve">NOTES AND ASSUMPTIONS</t>
  </si>
  <si>
    <t xml:space="preserve">Thresholds (10-50 doors, 4 of 10 painful workflow, 2-3 paid-pilot yeses, 3-4 day follow-up) come from the interview plan. The wider 'Maybe' band (5-100 doors) is my assumption [hypothesis].</t>
  </si>
  <si>
    <t xml:space="preserve">No reply-rate target is built in. The earlier estimate (contact 60-100 cold prospects for 10 interviews) is a hypothesis; the Funnel sheet shows your actual rate.</t>
  </si>
  <si>
    <t xml:space="preserve">The Tracker holds 150 prospects (rows 5-154). To add more, insert rows above row 154 and copy the formulas down from the row above.</t>
  </si>
  <si>
    <t xml:space="preserve">This file holds personal information. Keep it in a protected folder, get consent before recording calls, and delete records when asked.</t>
  </si>
  <si>
    <t xml:space="preserve">Type in every column except the gray-header ones (Follow-up due, Screener result, Funnel stage), which calculate. Dropdowns are on the coloured-list columns. Rows 5-154 are ready for 150 prospects.</t>
  </si>
  <si>
    <t xml:space="preserve">CONTACT</t>
  </si>
  <si>
    <t xml:space="preserve">SCREENER</t>
  </si>
  <si>
    <t xml:space="preserve">INTERVIEW</t>
  </si>
  <si>
    <t xml:space="preserve">FOLLOW-UP</t>
  </si>
  <si>
    <t xml:space="preserve">AUTO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</si>
  <si>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</si>
  <si>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</si>
  <si>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</si>
  <si>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</si>
  <si>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</si>
  <si>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</si>
  <si>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</si>
  <si>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</si>
  <si>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</si>
  <si>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</si>
  <si>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</si>
  <si>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</si>
  <si>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</si>
  <si>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</si>
  <si>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</si>
  <si>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</si>
  <si>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</si>
  <si>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</si>
  <si>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</si>
  <si>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</si>
  <si>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</si>
  <si>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</si>
  <si>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</si>
  <si>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</si>
  <si>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</si>
  <si>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</si>
  <si>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</si>
  <si>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</si>
  <si>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</si>
  <si>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</si>
  <si>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</si>
  <si>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</si>
  <si>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</si>
  <si>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</si>
  <si>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</si>
  <si>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</si>
  <si>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</si>
  <si>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</si>
  <si>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</si>
  <si>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</si>
  <si>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</si>
  <si>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</si>
  <si>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</si>
  <si>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</si>
  <si>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</si>
  <si>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</si>
  <si>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</si>
  <si>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</si>
  <si>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</si>
  <si>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</si>
  <si>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</si>
  <si>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</si>
  <si>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</si>
  <si>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</si>
  <si>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</si>
  <si>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</si>
  <si>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</si>
  <si>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</si>
  <si>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</si>
  <si>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</si>
  <si>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</si>
  <si>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</si>
  <si>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</si>
  <si>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</si>
  <si>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</si>
  <si>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</si>
  <si>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</si>
  <si>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</si>
  <si>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</si>
  <si>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</si>
  <si>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</si>
  <si>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</si>
  <si>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</si>
  <si>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</si>
  <si>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</si>
  <si>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</si>
  <si>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</si>
  <si>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</si>
  <si>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</si>
  <si>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</si>
  <si>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</si>
  <si>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</si>
  <si>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</si>
  <si>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</si>
  <si>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</si>
  <si>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</si>
  <si>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</si>
  <si>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</si>
  <si>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</si>
  <si>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</si>
  <si>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</si>
  <si>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</si>
  <si>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</si>
  <si>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</si>
  <si>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</si>
  <si>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</si>
  <si>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</si>
  <si>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</si>
  <si>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</si>
  <si>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</si>
  <si>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</si>
  <si>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</si>
  <si>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</si>
  <si>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</si>
  <si>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</si>
  <si>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</si>
  <si>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</si>
  <si>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</si>
  <si>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</si>
  <si>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</si>
  <si>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</si>
  <si>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</si>
  <si>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</si>
  <si>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</si>
  <si>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</si>
  <si>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</si>
  <si>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</si>
  <si>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</si>
  <si>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</si>
  <si>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</si>
  <si>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</si>
  <si>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</si>
  <si>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</si>
  <si>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</si>
  <si>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</si>
  <si>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</si>
  <si>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</si>
  <si>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</si>
  <si>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</si>
  <si>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</si>
  <si>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</si>
  <si>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</si>
  <si>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</si>
  <si>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</si>
  <si>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</si>
  <si>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</si>
  <si>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</si>
  <si>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</si>
  <si>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</si>
  <si>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</si>
  <si>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</si>
  <si>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</si>
  <si>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</si>
  <si>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</si>
  <si>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</si>
  <si>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</si>
  <si>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</si>
  <si>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</si>
  <si>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</si>
  <si>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Funnel &amp; Decision Check</t>
  </si>
  <si>
    <t xml:space="preserve">Everything here calculates from the Tracker. Nothing to type.</t>
  </si>
  <si>
    <t xml:space="preserve">OUTREACH FUNNEL</t>
  </si>
  <si>
    <t xml:space="preserve">Stage</t>
  </si>
  <si>
    <t xml:space="preserve">Count</t>
  </si>
  <si>
    <t xml:space="preserve">% of contacted</t>
  </si>
  <si>
    <t xml:space="preserve">% of previous stage</t>
  </si>
  <si>
    <t xml:space="preserve">Prospects logged</t>
  </si>
  <si>
    <t xml:space="preserve">-</t>
  </si>
  <si>
    <t xml:space="preserve">Contacted</t>
  </si>
  <si>
    <t xml:space="preserve">Replied</t>
  </si>
  <si>
    <t xml:space="preserve">Interview scheduled</t>
  </si>
  <si>
    <t xml:space="preserve">Interviewed</t>
  </si>
  <si>
    <t xml:space="preserve">Pilot offered</t>
  </si>
  <si>
    <t xml:space="preserve">Pilot signed</t>
  </si>
  <si>
    <t xml:space="preserve">Contacts per completed interview</t>
  </si>
  <si>
    <t xml:space="preserve">Follow-ups due today or overdue</t>
  </si>
  <si>
    <t xml:space="preserve">DECISION CHECK (from the interview plan)</t>
  </si>
  <si>
    <t xml:space="preserve">Measure</t>
  </si>
  <si>
    <t xml:space="preserve">Actual</t>
  </si>
  <si>
    <t xml:space="preserve">Needed</t>
  </si>
  <si>
    <t xml:space="preserve">Met?</t>
  </si>
  <si>
    <t xml:space="preserve">Interviews completed</t>
  </si>
  <si>
    <t xml:space="preserve">Described a recent painful workflow</t>
  </si>
  <si>
    <t xml:space="preserve">Said yes to a paid pilot</t>
  </si>
  <si>
    <t xml:space="preserve">Result</t>
  </si>
  <si>
    <t xml:space="preserve">Uses counts. If you interview more than the number needed, raise the minimums on the Rules sheet proportionally.</t>
  </si>
  <si>
    <t xml:space="preserve">SIGNAL: ONLINE RENT COLLECTION (interviewed only)</t>
  </si>
  <si>
    <t xml:space="preserve">Interviewed who need online rent collection</t>
  </si>
  <si>
    <t xml:space="preserve">Share of interviewed</t>
  </si>
  <si>
    <t xml:space="preserve">Signal</t>
  </si>
  <si>
    <t xml:space="preserve">DEPLOYMENT PREFERENCE (interviewed only)</t>
  </si>
  <si>
    <t xml:space="preserve">Option</t>
  </si>
  <si>
    <t xml:space="preserve">% of interviewed</t>
  </si>
  <si>
    <t xml:space="preserve">Stated preference is a signal, not behavior (roadmap Phase 0 checkpoint).</t>
  </si>
  <si>
    <t xml:space="preserve">PRICE NAMED ($/MONTH)</t>
  </si>
  <si>
    <t xml:space="preserve">Median</t>
  </si>
  <si>
    <t xml:space="preserve">Average</t>
  </si>
  <si>
    <t xml:space="preserve">Responses</t>
  </si>
  <si>
    <t xml:space="preserve">BY SOURCE</t>
  </si>
  <si>
    <t xml:space="preserve">Logged</t>
  </si>
  <si>
    <t xml:space="preserve">Reply rate</t>
  </si>
  <si>
    <t xml:space="preserve">Total</t>
  </si>
  <si>
    <t xml:space="preserve">Rules &amp; Lists</t>
  </si>
  <si>
    <t xml:space="preserve">Blue numbers on a yellow fill are inputs you can change. Everything else in the workbook reads from this sheet.</t>
  </si>
  <si>
    <t xml:space="preserve">SCREENER THRESHOLDS</t>
  </si>
  <si>
    <t xml:space="preserve">Qualified: minimum doors</t>
  </si>
  <si>
    <t xml:space="preserve">Interview plan targets managers with about 10-50 doors.</t>
  </si>
  <si>
    <t xml:space="preserve">Qualified: maximum doors</t>
  </si>
  <si>
    <t xml:space="preserve">Interview plan (same range).</t>
  </si>
  <si>
    <t xml:space="preserve">Maybe: lowest doors considered</t>
  </si>
  <si>
    <t xml:space="preserve">My assumption [hypothesis]: a wider band worth a conversation.</t>
  </si>
  <si>
    <t xml:space="preserve">Maybe: highest doors considered</t>
  </si>
  <si>
    <t xml:space="preserve">My assumption [hypothesis]. Larger operators are skipped.</t>
  </si>
  <si>
    <t xml:space="preserve">DECISION RULE</t>
  </si>
  <si>
    <t xml:space="preserve">Interviews needed before deciding</t>
  </si>
  <si>
    <t xml:space="preserve">Interview plan: 'at least 4 of 10 interviewees'.</t>
  </si>
  <si>
    <t xml:space="preserve">Minimum interviewees describing a recent painful workflow</t>
  </si>
  <si>
    <t xml:space="preserve">Interview plan decision rule [hypothesis].</t>
  </si>
  <si>
    <t xml:space="preserve">Minimum interviewees saying yes to a paid pilot</t>
  </si>
  <si>
    <t xml:space="preserve">Interview plan says 2-3 [hypothesis]. Set to 3 for a stricter test.</t>
  </si>
  <si>
    <t xml:space="preserve">Share that counts as 'most' (rent-collection signal)</t>
  </si>
  <si>
    <t xml:space="preserve">Signal fires when the share is above this. Roadmap stop signal.</t>
  </si>
  <si>
    <t xml:space="preserve">OUTREACH</t>
  </si>
  <si>
    <t xml:space="preserve">Follow-up after first contact (days)</t>
  </si>
  <si>
    <t xml:space="preserve">Outreach plan: follow up once after 3-4 days.</t>
  </si>
  <si>
    <t xml:space="preserve">LISTS (used by the dropdowns)</t>
  </si>
  <si>
    <t xml:space="preserve">Funnel stage (do not change)</t>
  </si>
  <si>
    <t xml:space="preserve">Yes / Some / No</t>
  </si>
  <si>
    <t xml:space="preserve">Yes / Unsure / No</t>
  </si>
  <si>
    <t xml:space="preserve">Yes / Maybe / No</t>
  </si>
  <si>
    <t xml:space="preserve">Yes / No</t>
  </si>
  <si>
    <t xml:space="preserve">To contact</t>
  </si>
  <si>
    <t xml:space="preserve">Self</t>
  </si>
  <si>
    <t xml:space="preserve">Referral: contractor / vendor</t>
  </si>
  <si>
    <t xml:space="preserve">Phone</t>
  </si>
  <si>
    <t xml:space="preserve">Some</t>
  </si>
  <si>
    <t xml:space="preserve">Local</t>
  </si>
  <si>
    <t xml:space="preserve">No response</t>
  </si>
  <si>
    <t xml:space="preserve">Referral: agent / broker / lender</t>
  </si>
  <si>
    <t xml:space="preserve">Text</t>
  </si>
  <si>
    <t xml:space="preserve">Accountant / CPA</t>
  </si>
  <si>
    <t xml:space="preserve">Either</t>
  </si>
  <si>
    <t xml:space="preserve">Referral: interviewee</t>
  </si>
  <si>
    <t xml:space="preserve">LinkedIn message</t>
  </si>
  <si>
    <t xml:space="preserve">Staff</t>
  </si>
  <si>
    <t xml:space="preserve">Declined</t>
  </si>
  <si>
    <t xml:space="preserve">Personal network</t>
  </si>
  <si>
    <t xml:space="preserve">Forum / DM</t>
  </si>
  <si>
    <t xml:space="preserve">Other</t>
  </si>
  <si>
    <t xml:space="preserve">Not a fit</t>
  </si>
  <si>
    <t xml:space="preserve">NARPM</t>
  </si>
  <si>
    <t xml:space="preserve">In person</t>
  </si>
  <si>
    <t xml:space="preserve">Investor association (REIA)</t>
  </si>
  <si>
    <t xml:space="preserve">Landlord / apartment association</t>
  </si>
  <si>
    <t xml:space="preserve">BiggerPockets</t>
  </si>
  <si>
    <t xml:space="preserve">Reddit</t>
  </si>
  <si>
    <t xml:space="preserve">Facebook group</t>
  </si>
  <si>
    <t xml:space="preserve">LinkedIn</t>
  </si>
  <si>
    <t xml:space="preserve">Google Maps / Yelp</t>
  </si>
  <si>
    <t xml:space="preserve">State license lookup</t>
  </si>
  <si>
    <t xml:space="preserve">To add a dropdown option, insert a row inside the list (not below it) so the dropdown range grows. If you rename an option, update existing Tracker rows that use it.</t>
  </si>
  <si>
    <t xml:space="preserve">Funnel stage numbers: 1 = contacted, 2 = replied, 3 = scheduled, 4 = interviewed, 5 = pilot offered, 6 = pilot signed.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</si>
</sst>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d&quot;, &quot;yyyy"/>
    <numFmt numFmtId="166" formatCode="\$#,##0"/>
    <numFmt numFmtId="167" formatCode="General"/>
    <numFmt numFmtId="168" formatCode="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EDEDED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40404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D9D9D9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1F2"/>
      <rgbColor rgb="FFFCE4D6"/>
      <rgbColor rgb="FFEDEDED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/>
      <c r="C5" s="5"/>
    </row>
    <row r="6" customFormat="false" ht="27.75" hidden="false" customHeight="true" outlineLevel="0" collapsed="false">
      <c r="A6" s="5" t="s">
        <v>4</v>
      </c>
      <c r="B6" s="5"/>
      <c r="C6" s="5"/>
    </row>
    <row r="7" customFormat="false" ht="15" hidden="false" customHeight="true" outlineLevel="0" collapsed="false">
      <c r="A7" s="5" t="s">
        <v>5</v>
      </c>
      <c r="B7" s="5"/>
      <c r="C7" s="5"/>
    </row>
    <row r="8" customFormat="false" ht="15" hidden="false" customHeight="true" outlineLevel="0" collapsed="false">
      <c r="A8" s="5" t="s">
        <v>6</v>
      </c>
      <c r="B8" s="5"/>
      <c r="C8" s="5"/>
    </row>
    <row r="10" customFormat="false" ht="15" hidden="false" customHeight="false" outlineLevel="0" collapsed="false">
      <c r="A10" s="3" t="s">
        <v>7</v>
      </c>
      <c r="B10" s="4"/>
      <c r="C10" s="4"/>
    </row>
    <row r="11" customFormat="false" ht="27.75" hidden="false" customHeight="true" outlineLevel="0" collapsed="false">
      <c r="A11" s="5" t="s">
        <v>8</v>
      </c>
      <c r="B11" s="5"/>
      <c r="C11" s="5"/>
    </row>
    <row r="12" customFormat="false" ht="27.75" hidden="false" customHeight="true" outlineLevel="0" collapsed="false">
      <c r="A12" s="5" t="s">
        <v>9</v>
      </c>
      <c r="B12" s="5"/>
      <c r="C12" s="5"/>
    </row>
    <row r="13" customFormat="false" ht="15" hidden="false" customHeight="true" outlineLevel="0" collapsed="false">
      <c r="A13" s="5" t="s">
        <v>10</v>
      </c>
      <c r="B13" s="5"/>
      <c r="C13" s="5"/>
    </row>
    <row r="15" customFormat="false" ht="15" hidden="false" customHeight="false" outlineLevel="0" collapsed="false">
      <c r="A15" s="3" t="s">
        <v>11</v>
      </c>
      <c r="B15" s="4"/>
      <c r="C15" s="4"/>
    </row>
    <row r="16" customFormat="false" ht="27.75" hidden="false" customHeight="true" outlineLevel="0" collapsed="false">
      <c r="A16" s="5" t="str">
        <f aca="false">"Qualified: "&amp;Rules!B5&amp;" to "&amp;Rules!B6&amp;" doors, manages at least some for other owners, and willing to do 30 minutes."</f>
        <v>Qualified: 10 to 50 doors, manages at least some for other owners, and willing to do 30 minutes.</v>
      </c>
      <c r="B16" s="5"/>
      <c r="C16" s="5"/>
    </row>
    <row r="17" customFormat="false" ht="27.75" hidden="false" customHeight="true" outlineLevel="0" collapsed="false">
      <c r="A17" s="5" t="str">
        <f aca="false">"Maybe: between "&amp;Rules!B7&amp;" and "&amp;Rules!B8&amp;" doors but outside the qualified range, or unsure about the 30 minutes."</f>
        <v>Maybe: between 5 and 100 doors but outside the qualified range, or unsure about the 30 minutes.</v>
      </c>
      <c r="B17" s="5"/>
      <c r="C17" s="5"/>
    </row>
    <row r="18" customFormat="false" ht="27.75" hidden="false" customHeight="true" outlineLevel="0" collapsed="false">
      <c r="A18" s="5" t="str">
        <f aca="false">"Not a fit: manages only their own, unwilling to talk, or fewer than "&amp;Rules!B7&amp;" or more than "&amp;Rules!B8&amp;" doors."</f>
        <v>Not a fit: manages only their own, unwilling to talk, or fewer than 5 or more than 100 doors.</v>
      </c>
      <c r="B18" s="5"/>
      <c r="C18" s="5"/>
    </row>
    <row r="19" customFormat="false" ht="27.75" hidden="false" customHeight="true" outlineLevel="0" collapsed="false">
      <c r="A19" s="5" t="s">
        <v>12</v>
      </c>
      <c r="B19" s="5"/>
      <c r="C19" s="5"/>
    </row>
    <row r="21" customFormat="false" ht="15" hidden="false" customHeight="false" outlineLevel="0" collapsed="false">
      <c r="A21" s="3" t="s">
        <v>13</v>
      </c>
      <c r="B21" s="4"/>
      <c r="C21" s="4"/>
    </row>
    <row r="22" customFormat="false" ht="15" hidden="false" customHeight="false" outlineLevel="0" collapsed="false">
      <c r="A22" s="6" t="s">
        <v>14</v>
      </c>
      <c r="B22" s="6" t="s">
        <v>15</v>
      </c>
      <c r="C22" s="6" t="s">
        <v>16</v>
      </c>
    </row>
    <row r="23" customFormat="false" ht="15" hidden="false" customHeight="true" outlineLevel="0" collapsed="false">
      <c r="A23" s="7" t="s">
        <v>17</v>
      </c>
      <c r="B23" s="7" t="s">
        <v>18</v>
      </c>
      <c r="C23" s="8" t="s">
        <v>19</v>
      </c>
    </row>
    <row r="24" customFormat="false" ht="15" hidden="false" customHeight="true" outlineLevel="0" collapsed="false">
      <c r="A24" s="7" t="s">
        <v>20</v>
      </c>
      <c r="B24" s="7" t="s">
        <v>21</v>
      </c>
      <c r="C24" s="8" t="s">
        <v>22</v>
      </c>
    </row>
    <row r="25" customFormat="false" ht="15" hidden="false" customHeight="true" outlineLevel="0" collapsed="false">
      <c r="A25" s="7" t="s">
        <v>23</v>
      </c>
      <c r="B25" s="7" t="s">
        <v>24</v>
      </c>
      <c r="C25" s="8" t="s">
        <v>25</v>
      </c>
    </row>
    <row r="26" customFormat="false" ht="15" hidden="false" customHeight="true" outlineLevel="0" collapsed="false">
      <c r="A26" s="7" t="s">
        <v>26</v>
      </c>
      <c r="B26" s="7" t="s">
        <v>27</v>
      </c>
      <c r="C26" s="8" t="s">
        <v>28</v>
      </c>
    </row>
    <row r="27" customFormat="false" ht="15" hidden="false" customHeight="true" outlineLevel="0" collapsed="false">
      <c r="A27" s="7" t="s">
        <v>29</v>
      </c>
      <c r="B27" s="7" t="s">
        <v>30</v>
      </c>
      <c r="C27" s="8" t="s">
        <v>31</v>
      </c>
    </row>
    <row r="28" customFormat="false" ht="15" hidden="false" customHeight="true" outlineLevel="0" collapsed="false">
      <c r="A28" s="7" t="s">
        <v>32</v>
      </c>
      <c r="B28" s="7" t="s">
        <v>33</v>
      </c>
      <c r="C28" s="8" t="s">
        <v>34</v>
      </c>
    </row>
    <row r="29" customFormat="false" ht="15" hidden="false" customHeight="true" outlineLevel="0" collapsed="false">
      <c r="A29" s="7" t="s">
        <v>35</v>
      </c>
      <c r="B29" s="7" t="s">
        <v>36</v>
      </c>
      <c r="C29" s="8" t="s">
        <v>37</v>
      </c>
    </row>
    <row r="30" customFormat="false" ht="27.75" hidden="false" customHeight="true" outlineLevel="0" collapsed="false">
      <c r="A30" s="7" t="s">
        <v>38</v>
      </c>
      <c r="B30" s="7" t="s">
        <v>39</v>
      </c>
      <c r="C30" s="8" t="s">
        <v>40</v>
      </c>
    </row>
    <row r="31" customFormat="false" ht="27.75" hidden="false" customHeight="true" outlineLevel="0" collapsed="false">
      <c r="A31" s="7" t="s">
        <v>41</v>
      </c>
      <c r="B31" s="7" t="s">
        <v>42</v>
      </c>
      <c r="C31" s="8" t="s">
        <v>43</v>
      </c>
    </row>
    <row r="32" customFormat="false" ht="15" hidden="false" customHeight="true" outlineLevel="0" collapsed="false">
      <c r="A32" s="7" t="s">
        <v>44</v>
      </c>
      <c r="B32" s="7" t="s">
        <v>45</v>
      </c>
      <c r="C32" s="8" t="s">
        <v>46</v>
      </c>
    </row>
    <row r="33" customFormat="false" ht="15" hidden="false" customHeight="true" outlineLevel="0" collapsed="false">
      <c r="A33" s="7" t="s">
        <v>47</v>
      </c>
      <c r="B33" s="7" t="s">
        <v>48</v>
      </c>
      <c r="C33" s="8" t="s">
        <v>49</v>
      </c>
    </row>
    <row r="34" customFormat="false" ht="15" hidden="false" customHeight="true" outlineLevel="0" collapsed="false">
      <c r="A34" s="7" t="s">
        <v>50</v>
      </c>
      <c r="B34" s="7" t="s">
        <v>51</v>
      </c>
      <c r="C34" s="8" t="s">
        <v>52</v>
      </c>
    </row>
    <row r="35" customFormat="false" ht="15" hidden="false" customHeight="true" outlineLevel="0" collapsed="false">
      <c r="A35" s="7" t="s">
        <v>53</v>
      </c>
      <c r="B35" s="7" t="s">
        <v>54</v>
      </c>
      <c r="C35" s="8" t="s">
        <v>55</v>
      </c>
    </row>
    <row r="36" customFormat="false" ht="15" hidden="false" customHeight="true" outlineLevel="0" collapsed="false">
      <c r="A36" s="7" t="s">
        <v>56</v>
      </c>
      <c r="B36" s="7" t="s">
        <v>57</v>
      </c>
      <c r="C36" s="8" t="s">
        <v>49</v>
      </c>
    </row>
    <row r="37" customFormat="false" ht="15" hidden="false" customHeight="true" outlineLevel="0" collapsed="false">
      <c r="A37" s="7" t="s">
        <v>58</v>
      </c>
      <c r="B37" s="7" t="s">
        <v>59</v>
      </c>
      <c r="C37" s="8" t="s">
        <v>60</v>
      </c>
    </row>
    <row r="38" customFormat="false" ht="15" hidden="false" customHeight="true" outlineLevel="0" collapsed="false">
      <c r="A38" s="7" t="s">
        <v>61</v>
      </c>
      <c r="B38" s="7" t="s">
        <v>62</v>
      </c>
      <c r="C38" s="8" t="s">
        <v>63</v>
      </c>
    </row>
    <row r="39" customFormat="false" ht="27.75" hidden="false" customHeight="true" outlineLevel="0" collapsed="false">
      <c r="A39" s="7" t="s">
        <v>64</v>
      </c>
      <c r="B39" s="7" t="s">
        <v>65</v>
      </c>
      <c r="C39" s="8" t="s">
        <v>49</v>
      </c>
    </row>
    <row r="40" customFormat="false" ht="15" hidden="false" customHeight="true" outlineLevel="0" collapsed="false">
      <c r="A40" s="7" t="s">
        <v>66</v>
      </c>
      <c r="B40" s="7" t="s">
        <v>67</v>
      </c>
      <c r="C40" s="8" t="s">
        <v>68</v>
      </c>
    </row>
    <row r="41" customFormat="false" ht="15" hidden="false" customHeight="true" outlineLevel="0" collapsed="false">
      <c r="A41" s="7" t="s">
        <v>69</v>
      </c>
      <c r="B41" s="7" t="s">
        <v>70</v>
      </c>
      <c r="C41" s="8" t="s">
        <v>71</v>
      </c>
    </row>
    <row r="42" customFormat="false" ht="15" hidden="false" customHeight="true" outlineLevel="0" collapsed="false">
      <c r="A42" s="7" t="s">
        <v>72</v>
      </c>
      <c r="B42" s="7" t="s">
        <v>73</v>
      </c>
      <c r="C42" s="8" t="s">
        <v>74</v>
      </c>
    </row>
    <row r="43" customFormat="false" ht="15" hidden="false" customHeight="true" outlineLevel="0" collapsed="false">
      <c r="A43" s="7" t="s">
        <v>75</v>
      </c>
      <c r="B43" s="7" t="s">
        <v>76</v>
      </c>
      <c r="C43" s="8" t="s">
        <v>77</v>
      </c>
    </row>
    <row r="44" customFormat="false" ht="15" hidden="false" customHeight="true" outlineLevel="0" collapsed="false">
      <c r="A44" s="7" t="s">
        <v>78</v>
      </c>
      <c r="B44" s="7" t="s">
        <v>79</v>
      </c>
      <c r="C44" s="8" t="s">
        <v>80</v>
      </c>
    </row>
    <row r="45" customFormat="false" ht="15" hidden="false" customHeight="true" outlineLevel="0" collapsed="false">
      <c r="A45" s="7" t="s">
        <v>81</v>
      </c>
      <c r="B45" s="7" t="s">
        <v>82</v>
      </c>
      <c r="C45" s="8" t="s">
        <v>83</v>
      </c>
    </row>
    <row r="46" customFormat="false" ht="15" hidden="false" customHeight="true" outlineLevel="0" collapsed="false">
      <c r="A46" s="7" t="s">
        <v>84</v>
      </c>
      <c r="B46" s="7" t="s">
        <v>85</v>
      </c>
      <c r="C46" s="8" t="s">
        <v>86</v>
      </c>
    </row>
    <row r="47" customFormat="false" ht="15" hidden="false" customHeight="true" outlineLevel="0" collapsed="false">
      <c r="A47" s="7" t="s">
        <v>87</v>
      </c>
      <c r="B47" s="7" t="s">
        <v>88</v>
      </c>
      <c r="C47" s="8" t="s">
        <v>89</v>
      </c>
    </row>
    <row r="48" customFormat="false" ht="15" hidden="false" customHeight="true" outlineLevel="0" collapsed="false">
      <c r="A48" s="7" t="s">
        <v>90</v>
      </c>
      <c r="B48" s="7" t="s">
        <v>91</v>
      </c>
      <c r="C48" s="8" t="s">
        <v>92</v>
      </c>
    </row>
    <row r="50" customFormat="false" ht="15" hidden="false" customHeight="false" outlineLevel="0" collapsed="false">
      <c r="A50" s="3" t="s">
        <v>93</v>
      </c>
      <c r="B50" s="4"/>
      <c r="C50" s="4"/>
    </row>
    <row r="51" customFormat="false" ht="27.75" hidden="false" customHeight="true" outlineLevel="0" collapsed="false">
      <c r="A51" s="5" t="s">
        <v>94</v>
      </c>
      <c r="B51" s="5"/>
      <c r="C51" s="5"/>
    </row>
    <row r="52" customFormat="false" ht="27.75" hidden="false" customHeight="true" outlineLevel="0" collapsed="false">
      <c r="A52" s="5" t="s">
        <v>95</v>
      </c>
      <c r="B52" s="5"/>
      <c r="C52" s="5"/>
    </row>
    <row r="53" customFormat="false" ht="27.75" hidden="false" customHeight="true" outlineLevel="0" collapsed="false">
      <c r="A53" s="5" t="s">
        <v>96</v>
      </c>
      <c r="B53" s="5"/>
      <c r="C53" s="5"/>
    </row>
    <row r="54" customFormat="false" ht="27.75" hidden="false" customHeight="true" outlineLevel="0" collapsed="false">
      <c r="A54" s="5" t="s">
        <v>97</v>
      </c>
      <c r="B54" s="5"/>
      <c r="C54" s="5"/>
    </row>
  </sheetData>
  <mergeCells count="15">
    <mergeCell ref="A5:C5"/>
    <mergeCell ref="A6:C6"/>
    <mergeCell ref="A7:C7"/>
    <mergeCell ref="A8:C8"/>
    <mergeCell ref="A11:C11"/>
    <mergeCell ref="A12:C12"/>
    <mergeCell ref="A13:C13"/>
    <mergeCell ref="A16:C16"/>
    <mergeCell ref="A17:C17"/>
    <mergeCell ref="A18:C18"/>
    <mergeCell ref="A19:C19"/>
    <mergeCell ref="A51:C51"/>
    <mergeCell ref="A52:C52"/>
    <mergeCell ref="A53:C53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Z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9" min="7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9" min="16" style="0" width="14"/>
    <col collapsed="false" customWidth="true" hidden="false" outlineLevel="0" max="21" min="20" style="0" width="12"/>
    <col collapsed="false" customWidth="true" hidden="false" outlineLevel="0" max="23" min="22" style="0" width="10"/>
    <col collapsed="false" customWidth="true" hidden="false" outlineLevel="0" max="24" min="24" style="0" width="28"/>
    <col collapsed="false" customWidth="true" hidden="false" outlineLevel="0" max="25" min="25" style="0" width="38"/>
    <col collapsed="false" customWidth="true" hidden="false" outlineLevel="0" max="26" min="26" style="0" width="10"/>
  </cols>
  <sheetData>
    <row r="1" customFormat="false" ht="17.35" hidden="false" customHeight="false" outlineLevel="0" collapsed="false">
      <c r="A1" s="9" t="s">
        <v>0</v>
      </c>
    </row>
    <row r="2" customFormat="false" ht="15" hidden="false" customHeight="false" outlineLevel="0" collapsed="false">
      <c r="A2" s="2" t="s">
        <v>98</v>
      </c>
    </row>
    <row r="3" customFormat="false" ht="15" hidden="false" customHeight="true" outlineLevel="0" collapsed="false">
      <c r="A3" s="10" t="s">
        <v>99</v>
      </c>
      <c r="B3" s="10"/>
      <c r="C3" s="10"/>
      <c r="D3" s="10"/>
      <c r="E3" s="10"/>
      <c r="F3" s="10"/>
      <c r="G3" s="10"/>
      <c r="H3" s="10"/>
      <c r="I3" s="10"/>
      <c r="J3" s="11" t="s">
        <v>100</v>
      </c>
      <c r="K3" s="11"/>
      <c r="L3" s="11"/>
      <c r="M3" s="11"/>
      <c r="N3" s="11"/>
      <c r="O3" s="11"/>
      <c r="P3" s="12" t="s">
        <v>101</v>
      </c>
      <c r="Q3" s="12"/>
      <c r="R3" s="12"/>
      <c r="S3" s="12"/>
      <c r="T3" s="12"/>
      <c r="U3" s="12"/>
      <c r="V3" s="13" t="s">
        <v>102</v>
      </c>
      <c r="W3" s="13"/>
      <c r="X3" s="13"/>
      <c r="Y3" s="13"/>
      <c r="Z3" s="14" t="s">
        <v>103</v>
      </c>
    </row>
    <row r="4" customFormat="false" ht="54" hidden="false" customHeight="true" outlineLevel="0" collapsed="false">
      <c r="A4" s="15" t="s">
        <v>17</v>
      </c>
      <c r="B4" s="15" t="s">
        <v>20</v>
      </c>
      <c r="C4" s="15" t="s">
        <v>23</v>
      </c>
      <c r="D4" s="15" t="s">
        <v>26</v>
      </c>
      <c r="E4" s="15" t="s">
        <v>29</v>
      </c>
      <c r="F4" s="15" t="s">
        <v>32</v>
      </c>
      <c r="G4" s="15" t="s">
        <v>35</v>
      </c>
      <c r="H4" s="16" t="s">
        <v>38</v>
      </c>
      <c r="I4" s="15" t="s">
        <v>41</v>
      </c>
      <c r="J4" s="15" t="s">
        <v>44</v>
      </c>
      <c r="K4" s="15" t="s">
        <v>47</v>
      </c>
      <c r="L4" s="15" t="s">
        <v>50</v>
      </c>
      <c r="M4" s="15" t="s">
        <v>53</v>
      </c>
      <c r="N4" s="15" t="s">
        <v>56</v>
      </c>
      <c r="O4" s="16" t="s">
        <v>58</v>
      </c>
      <c r="P4" s="15" t="s">
        <v>61</v>
      </c>
      <c r="Q4" s="15" t="s">
        <v>64</v>
      </c>
      <c r="R4" s="15" t="s">
        <v>66</v>
      </c>
      <c r="S4" s="15" t="s">
        <v>69</v>
      </c>
      <c r="T4" s="15" t="s">
        <v>72</v>
      </c>
      <c r="U4" s="15" t="s">
        <v>75</v>
      </c>
      <c r="V4" s="15" t="s">
        <v>78</v>
      </c>
      <c r="W4" s="15" t="s">
        <v>81</v>
      </c>
      <c r="X4" s="15" t="s">
        <v>84</v>
      </c>
      <c r="Y4" s="15" t="s">
        <v>87</v>
      </c>
      <c r="Z4" s="16" t="s">
        <v>90</v>
      </c>
    </row>
    <row r="5" customFormat="false" ht="15" hidden="false" customHeight="false" outlineLevel="0" collapsed="false">
      <c r="A5" s="17" t="s">
        <v>19</v>
      </c>
      <c r="B5" s="17"/>
      <c r="C5" s="18"/>
      <c r="D5" s="18"/>
      <c r="E5" s="17"/>
      <c r="F5" s="18"/>
      <c r="G5" s="19"/>
      <c r="H5" s="20" t="str">
        <f aca="false">IF(AND(G5&lt;&gt;"",I5="Contacted"),G5+Rules!$B$17,"")</f>
        <v/>
      </c>
      <c r="I5" s="17"/>
      <c r="J5" s="21"/>
      <c r="K5" s="17"/>
      <c r="L5" s="18"/>
      <c r="M5" s="17"/>
      <c r="N5" s="17"/>
      <c r="O5" s="22" t="str">
        <f aca="false">IF(COUNTA(J5,K5,N5)=0,"",IF(COUNTA(J5,K5,N5)&lt;3,"Incomplete",IF(OR(K5="No",N5="No",J5&lt;Rules!$B$7,J5&gt;Rules!$B$8),"Not a fit",IF(AND(J5&gt;=Rules!$B$5,J5&lt;=Rules!$B$6,N5="Yes"),"Qualified","Maybe"))))</f>
        <v/>
      </c>
      <c r="P5" s="19"/>
      <c r="Q5" s="17"/>
      <c r="R5" s="17"/>
      <c r="S5" s="17"/>
      <c r="T5" s="17"/>
      <c r="U5" s="23"/>
      <c r="V5" s="17"/>
      <c r="W5" s="21"/>
      <c r="X5" s="18"/>
      <c r="Y5" s="18"/>
      <c r="Z5" s="24" t="str">
        <f aca="false">IF(I5="","",IFERROR(VLOOKUP(I5,Rules!$A$21:$B$30,2,FALSE()),""))</f>
        <v/>
      </c>
    </row>
    <row r="6" customFormat="false" ht="15" hidden="false" customHeight="false" outlineLevel="0" collapsed="false">
      <c r="A6" s="17" t="s">
        <v>104</v>
      </c>
      <c r="B6" s="17"/>
      <c r="C6" s="18"/>
      <c r="D6" s="18"/>
      <c r="E6" s="17"/>
      <c r="F6" s="18"/>
      <c r="G6" s="19"/>
      <c r="H6" s="20" t="str">
        <f aca="false">IF(AND(G6&lt;&gt;"",I6="Contacted"),G6+Rules!$B$17,"")</f>
        <v/>
      </c>
      <c r="I6" s="17"/>
      <c r="J6" s="21"/>
      <c r="K6" s="17"/>
      <c r="L6" s="18"/>
      <c r="M6" s="17"/>
      <c r="N6" s="17"/>
      <c r="O6" s="22" t="str">
        <f aca="false">IF(COUNTA(J6,K6,N6)=0,"",IF(COUNTA(J6,K6,N6)&lt;3,"Incomplete",IF(OR(K6="No",N6="No",J6&lt;Rules!$B$7,J6&gt;Rules!$B$8),"Not a fit",IF(AND(J6&gt;=Rules!$B$5,J6&lt;=Rules!$B$6,N6="Yes"),"Qualified","Maybe"))))</f>
        <v/>
      </c>
      <c r="P6" s="19"/>
      <c r="Q6" s="17"/>
      <c r="R6" s="17"/>
      <c r="S6" s="17"/>
      <c r="T6" s="17"/>
      <c r="U6" s="23"/>
      <c r="V6" s="17"/>
      <c r="W6" s="21"/>
      <c r="X6" s="18"/>
      <c r="Y6" s="18"/>
      <c r="Z6" s="24" t="str">
        <f aca="false">IF(I6="","",IFERROR(VLOOKUP(I6,Rules!$A$21:$B$30,2,FALSE()),""))</f>
        <v/>
      </c>
    </row>
    <row r="7" customFormat="false" ht="15" hidden="false" customHeight="false" outlineLevel="0" collapsed="false">
      <c r="A7" s="17" t="s">
        <v>105</v>
      </c>
      <c r="B7" s="17"/>
      <c r="C7" s="18"/>
      <c r="D7" s="18"/>
      <c r="E7" s="17"/>
      <c r="F7" s="18"/>
      <c r="G7" s="19"/>
      <c r="H7" s="20" t="str">
        <f aca="false">IF(AND(G7&lt;&gt;"",I7="Contacted"),G7+Rules!$B$17,"")</f>
        <v/>
      </c>
      <c r="I7" s="17"/>
      <c r="J7" s="21"/>
      <c r="K7" s="17"/>
      <c r="L7" s="18"/>
      <c r="M7" s="17"/>
      <c r="N7" s="17"/>
      <c r="O7" s="22" t="str">
        <f aca="false">IF(COUNTA(J7,K7,N7)=0,"",IF(COUNTA(J7,K7,N7)&lt;3,"Incomplete",IF(OR(K7="No",N7="No",J7&lt;Rules!$B$7,J7&gt;Rules!$B$8),"Not a fit",IF(AND(J7&gt;=Rules!$B$5,J7&lt;=Rules!$B$6,N7="Yes"),"Qualified","Maybe"))))</f>
        <v/>
      </c>
      <c r="P7" s="19"/>
      <c r="Q7" s="17"/>
      <c r="R7" s="17"/>
      <c r="S7" s="17"/>
      <c r="T7" s="17"/>
      <c r="U7" s="23"/>
      <c r="V7" s="17"/>
      <c r="W7" s="21"/>
      <c r="X7" s="18"/>
      <c r="Y7" s="18"/>
      <c r="Z7" s="24" t="str">
        <f aca="false">IF(I7="","",IFERROR(VLOOKUP(I7,Rules!$A$21:$B$30,2,FALSE()),""))</f>
        <v/>
      </c>
    </row>
    <row r="8" customFormat="false" ht="15" hidden="false" customHeight="false" outlineLevel="0" collapsed="false">
      <c r="A8" s="17" t="s">
        <v>106</v>
      </c>
      <c r="B8" s="17"/>
      <c r="C8" s="18"/>
      <c r="D8" s="18"/>
      <c r="E8" s="17"/>
      <c r="F8" s="18"/>
      <c r="G8" s="19"/>
      <c r="H8" s="20" t="str">
        <f aca="false">IF(AND(G8&lt;&gt;"",I8="Contacted"),G8+Rules!$B$17,"")</f>
        <v/>
      </c>
      <c r="I8" s="17"/>
      <c r="J8" s="21"/>
      <c r="K8" s="17"/>
      <c r="L8" s="18"/>
      <c r="M8" s="17"/>
      <c r="N8" s="17"/>
      <c r="O8" s="22" t="str">
        <f aca="false">IF(COUNTA(J8,K8,N8)=0,"",IF(COUNTA(J8,K8,N8)&lt;3,"Incomplete",IF(OR(K8="No",N8="No",J8&lt;Rules!$B$7,J8&gt;Rules!$B$8),"Not a fit",IF(AND(J8&gt;=Rules!$B$5,J8&lt;=Rules!$B$6,N8="Yes"),"Qualified","Maybe"))))</f>
        <v/>
      </c>
      <c r="P8" s="19"/>
      <c r="Q8" s="17"/>
      <c r="R8" s="17"/>
      <c r="S8" s="17"/>
      <c r="T8" s="17"/>
      <c r="U8" s="23"/>
      <c r="V8" s="17"/>
      <c r="W8" s="21"/>
      <c r="X8" s="18"/>
      <c r="Y8" s="18"/>
      <c r="Z8" s="24" t="str">
        <f aca="false">IF(I8="","",IFERROR(VLOOKUP(I8,Rules!$A$21:$B$30,2,FALSE()),""))</f>
        <v/>
      </c>
    </row>
    <row r="9" customFormat="false" ht="15" hidden="false" customHeight="false" outlineLevel="0" collapsed="false">
      <c r="A9" s="17" t="s">
        <v>107</v>
      </c>
      <c r="B9" s="17"/>
      <c r="C9" s="18"/>
      <c r="D9" s="18"/>
      <c r="E9" s="17"/>
      <c r="F9" s="18"/>
      <c r="G9" s="19"/>
      <c r="H9" s="20" t="str">
        <f aca="false">IF(AND(G9&lt;&gt;"",I9="Contacted"),G9+Rules!$B$17,"")</f>
        <v/>
      </c>
      <c r="I9" s="17"/>
      <c r="J9" s="21"/>
      <c r="K9" s="17"/>
      <c r="L9" s="18"/>
      <c r="M9" s="17"/>
      <c r="N9" s="17"/>
      <c r="O9" s="22" t="str">
        <f aca="false">IF(COUNTA(J9,K9,N9)=0,"",IF(COUNTA(J9,K9,N9)&lt;3,"Incomplete",IF(OR(K9="No",N9="No",J9&lt;Rules!$B$7,J9&gt;Rules!$B$8),"Not a fit",IF(AND(J9&gt;=Rules!$B$5,J9&lt;=Rules!$B$6,N9="Yes"),"Qualified","Maybe"))))</f>
        <v/>
      </c>
      <c r="P9" s="19"/>
      <c r="Q9" s="17"/>
      <c r="R9" s="17"/>
      <c r="S9" s="17"/>
      <c r="T9" s="17"/>
      <c r="U9" s="23"/>
      <c r="V9" s="17"/>
      <c r="W9" s="21"/>
      <c r="X9" s="18"/>
      <c r="Y9" s="18"/>
      <c r="Z9" s="24" t="str">
        <f aca="false">IF(I9="","",IFERROR(VLOOKUP(I9,Rules!$A$21:$B$30,2,FALSE()),""))</f>
        <v/>
      </c>
    </row>
    <row r="10" customFormat="false" ht="15" hidden="false" customHeight="false" outlineLevel="0" collapsed="false">
      <c r="A10" s="17" t="s">
        <v>108</v>
      </c>
      <c r="B10" s="17"/>
      <c r="C10" s="18"/>
      <c r="D10" s="18"/>
      <c r="E10" s="17"/>
      <c r="F10" s="18"/>
      <c r="G10" s="19"/>
      <c r="H10" s="20" t="str">
        <f aca="false">IF(AND(G10&lt;&gt;"",I10="Contacted"),G10+Rules!$B$17,"")</f>
        <v/>
      </c>
      <c r="I10" s="17"/>
      <c r="J10" s="21"/>
      <c r="K10" s="17"/>
      <c r="L10" s="18"/>
      <c r="M10" s="17"/>
      <c r="N10" s="17"/>
      <c r="O10" s="22" t="str">
        <f aca="false">IF(COUNTA(J10,K10,N10)=0,"",IF(COUNTA(J10,K10,N10)&lt;3,"Incomplete",IF(OR(K10="No",N10="No",J10&lt;Rules!$B$7,J10&gt;Rules!$B$8),"Not a fit",IF(AND(J10&gt;=Rules!$B$5,J10&lt;=Rules!$B$6,N10="Yes"),"Qualified","Maybe"))))</f>
        <v/>
      </c>
      <c r="P10" s="19"/>
      <c r="Q10" s="17"/>
      <c r="R10" s="17"/>
      <c r="S10" s="17"/>
      <c r="T10" s="17"/>
      <c r="U10" s="23"/>
      <c r="V10" s="17"/>
      <c r="W10" s="21"/>
      <c r="X10" s="18"/>
      <c r="Y10" s="18"/>
      <c r="Z10" s="24" t="str">
        <f aca="false">IF(I10="","",IFERROR(VLOOKUP(I10,Rules!$A$21:$B$30,2,FALSE()),""))</f>
        <v/>
      </c>
    </row>
    <row r="11" customFormat="false" ht="15" hidden="false" customHeight="false" outlineLevel="0" collapsed="false">
      <c r="A11" s="17" t="s">
        <v>109</v>
      </c>
      <c r="B11" s="17"/>
      <c r="C11" s="18"/>
      <c r="D11" s="18"/>
      <c r="E11" s="17"/>
      <c r="F11" s="18"/>
      <c r="G11" s="19"/>
      <c r="H11" s="20" t="str">
        <f aca="false">IF(AND(G11&lt;&gt;"",I11="Contacted"),G11+Rules!$B$17,"")</f>
        <v/>
      </c>
      <c r="I11" s="17"/>
      <c r="J11" s="21"/>
      <c r="K11" s="17"/>
      <c r="L11" s="18"/>
      <c r="M11" s="17"/>
      <c r="N11" s="17"/>
      <c r="O11" s="22" t="str">
        <f aca="false">IF(COUNTA(J11,K11,N11)=0,"",IF(COUNTA(J11,K11,N11)&lt;3,"Incomplete",IF(OR(K11="No",N11="No",J11&lt;Rules!$B$7,J11&gt;Rules!$B$8),"Not a fit",IF(AND(J11&gt;=Rules!$B$5,J11&lt;=Rules!$B$6,N11="Yes"),"Qualified","Maybe"))))</f>
        <v/>
      </c>
      <c r="P11" s="19"/>
      <c r="Q11" s="17"/>
      <c r="R11" s="17"/>
      <c r="S11" s="17"/>
      <c r="T11" s="17"/>
      <c r="U11" s="23"/>
      <c r="V11" s="17"/>
      <c r="W11" s="21"/>
      <c r="X11" s="18"/>
      <c r="Y11" s="18"/>
      <c r="Z11" s="24" t="str">
        <f aca="false">IF(I11="","",IFERROR(VLOOKUP(I11,Rules!$A$21:$B$30,2,FALSE()),""))</f>
        <v/>
      </c>
    </row>
    <row r="12" customFormat="false" ht="15" hidden="false" customHeight="false" outlineLevel="0" collapsed="false">
      <c r="A12" s="17" t="s">
        <v>110</v>
      </c>
      <c r="B12" s="17"/>
      <c r="C12" s="18"/>
      <c r="D12" s="18"/>
      <c r="E12" s="17"/>
      <c r="F12" s="18"/>
      <c r="G12" s="19"/>
      <c r="H12" s="20" t="str">
        <f aca="false">IF(AND(G12&lt;&gt;"",I12="Contacted"),G12+Rules!$B$17,"")</f>
        <v/>
      </c>
      <c r="I12" s="17"/>
      <c r="J12" s="21"/>
      <c r="K12" s="17"/>
      <c r="L12" s="18"/>
      <c r="M12" s="17"/>
      <c r="N12" s="17"/>
      <c r="O12" s="22" t="str">
        <f aca="false">IF(COUNTA(J12,K12,N12)=0,"",IF(COUNTA(J12,K12,N12)&lt;3,"Incomplete",IF(OR(K12="No",N12="No",J12&lt;Rules!$B$7,J12&gt;Rules!$B$8),"Not a fit",IF(AND(J12&gt;=Rules!$B$5,J12&lt;=Rules!$B$6,N12="Yes"),"Qualified","Maybe"))))</f>
        <v/>
      </c>
      <c r="P12" s="19"/>
      <c r="Q12" s="17"/>
      <c r="R12" s="17"/>
      <c r="S12" s="17"/>
      <c r="T12" s="17"/>
      <c r="U12" s="23"/>
      <c r="V12" s="17"/>
      <c r="W12" s="21"/>
      <c r="X12" s="18"/>
      <c r="Y12" s="18"/>
      <c r="Z12" s="24" t="str">
        <f aca="false">IF(I12="","",IFERROR(VLOOKUP(I12,Rules!$A$21:$B$30,2,FALSE()),""))</f>
        <v/>
      </c>
    </row>
    <row r="13" customFormat="false" ht="15" hidden="false" customHeight="false" outlineLevel="0" collapsed="false">
      <c r="A13" s="17" t="s">
        <v>111</v>
      </c>
      <c r="B13" s="17"/>
      <c r="C13" s="18"/>
      <c r="D13" s="18"/>
      <c r="E13" s="17"/>
      <c r="F13" s="18"/>
      <c r="G13" s="19"/>
      <c r="H13" s="20" t="str">
        <f aca="false">IF(AND(G13&lt;&gt;"",I13="Contacted"),G13+Rules!$B$17,"")</f>
        <v/>
      </c>
      <c r="I13" s="17"/>
      <c r="J13" s="21"/>
      <c r="K13" s="17"/>
      <c r="L13" s="18"/>
      <c r="M13" s="17"/>
      <c r="N13" s="17"/>
      <c r="O13" s="22" t="str">
        <f aca="false">IF(COUNTA(J13,K13,N13)=0,"",IF(COUNTA(J13,K13,N13)&lt;3,"Incomplete",IF(OR(K13="No",N13="No",J13&lt;Rules!$B$7,J13&gt;Rules!$B$8),"Not a fit",IF(AND(J13&gt;=Rules!$B$5,J13&lt;=Rules!$B$6,N13="Yes"),"Qualified","Maybe"))))</f>
        <v/>
      </c>
      <c r="P13" s="19"/>
      <c r="Q13" s="17"/>
      <c r="R13" s="17"/>
      <c r="S13" s="17"/>
      <c r="T13" s="17"/>
      <c r="U13" s="23"/>
      <c r="V13" s="17"/>
      <c r="W13" s="21"/>
      <c r="X13" s="18"/>
      <c r="Y13" s="18"/>
      <c r="Z13" s="24" t="str">
        <f aca="false">IF(I13="","",IFERROR(VLOOKUP(I13,Rules!$A$21:$B$30,2,FALSE()),""))</f>
        <v/>
      </c>
    </row>
    <row r="14" customFormat="false" ht="15" hidden="false" customHeight="false" outlineLevel="0" collapsed="false">
      <c r="A14" s="17" t="s">
        <v>112</v>
      </c>
      <c r="B14" s="17"/>
      <c r="C14" s="18"/>
      <c r="D14" s="18"/>
      <c r="E14" s="17"/>
      <c r="F14" s="18"/>
      <c r="G14" s="19"/>
      <c r="H14" s="20" t="str">
        <f aca="false">IF(AND(G14&lt;&gt;"",I14="Contacted"),G14+Rules!$B$17,"")</f>
        <v/>
      </c>
      <c r="I14" s="17"/>
      <c r="J14" s="21"/>
      <c r="K14" s="17"/>
      <c r="L14" s="18"/>
      <c r="M14" s="17"/>
      <c r="N14" s="17"/>
      <c r="O14" s="22" t="str">
        <f aca="false">IF(COUNTA(J14,K14,N14)=0,"",IF(COUNTA(J14,K14,N14)&lt;3,"Incomplete",IF(OR(K14="No",N14="No",J14&lt;Rules!$B$7,J14&gt;Rules!$B$8),"Not a fit",IF(AND(J14&gt;=Rules!$B$5,J14&lt;=Rules!$B$6,N14="Yes"),"Qualified","Maybe"))))</f>
        <v/>
      </c>
      <c r="P14" s="19"/>
      <c r="Q14" s="17"/>
      <c r="R14" s="17"/>
      <c r="S14" s="17"/>
      <c r="T14" s="17"/>
      <c r="U14" s="23"/>
      <c r="V14" s="17"/>
      <c r="W14" s="21"/>
      <c r="X14" s="18"/>
      <c r="Y14" s="18"/>
      <c r="Z14" s="24" t="str">
        <f aca="false">IF(I14="","",IFERROR(VLOOKUP(I14,Rules!$A$21:$B$30,2,FALSE()),""))</f>
        <v/>
      </c>
    </row>
    <row r="15" customFormat="false" ht="15" hidden="false" customHeight="false" outlineLevel="0" collapsed="false">
      <c r="A15" s="17" t="s">
        <v>113</v>
      </c>
      <c r="B15" s="17"/>
      <c r="C15" s="18"/>
      <c r="D15" s="18"/>
      <c r="E15" s="17"/>
      <c r="F15" s="18"/>
      <c r="G15" s="19"/>
      <c r="H15" s="20" t="str">
        <f aca="false">IF(AND(G15&lt;&gt;"",I15="Contacted"),G15+Rules!$B$17,"")</f>
        <v/>
      </c>
      <c r="I15" s="17"/>
      <c r="J15" s="21"/>
      <c r="K15" s="17"/>
      <c r="L15" s="18"/>
      <c r="M15" s="17"/>
      <c r="N15" s="17"/>
      <c r="O15" s="22" t="str">
        <f aca="false">IF(COUNTA(J15,K15,N15)=0,"",IF(COUNTA(J15,K15,N15)&lt;3,"Incomplete",IF(OR(K15="No",N15="No",J15&lt;Rules!$B$7,J15&gt;Rules!$B$8),"Not a fit",IF(AND(J15&gt;=Rules!$B$5,J15&lt;=Rules!$B$6,N15="Yes"),"Qualified","Maybe"))))</f>
        <v/>
      </c>
      <c r="P15" s="19"/>
      <c r="Q15" s="17"/>
      <c r="R15" s="17"/>
      <c r="S15" s="17"/>
      <c r="T15" s="17"/>
      <c r="U15" s="23"/>
      <c r="V15" s="17"/>
      <c r="W15" s="21"/>
      <c r="X15" s="18"/>
      <c r="Y15" s="18"/>
      <c r="Z15" s="24" t="str">
        <f aca="false">IF(I15="","",IFERROR(VLOOKUP(I15,Rules!$A$21:$B$30,2,FALSE()),""))</f>
        <v/>
      </c>
    </row>
    <row r="16" customFormat="false" ht="15" hidden="false" customHeight="false" outlineLevel="0" collapsed="false">
      <c r="A16" s="17" t="s">
        <v>114</v>
      </c>
      <c r="B16" s="17"/>
      <c r="C16" s="18"/>
      <c r="D16" s="18"/>
      <c r="E16" s="17"/>
      <c r="F16" s="18"/>
      <c r="G16" s="19"/>
      <c r="H16" s="20" t="str">
        <f aca="false">IF(AND(G16&lt;&gt;"",I16="Contacted"),G16+Rules!$B$17,"")</f>
        <v/>
      </c>
      <c r="I16" s="17"/>
      <c r="J16" s="21"/>
      <c r="K16" s="17"/>
      <c r="L16" s="18"/>
      <c r="M16" s="17"/>
      <c r="N16" s="17"/>
      <c r="O16" s="22" t="str">
        <f aca="false">IF(COUNTA(J16,K16,N16)=0,"",IF(COUNTA(J16,K16,N16)&lt;3,"Incomplete",IF(OR(K16="No",N16="No",J16&lt;Rules!$B$7,J16&gt;Rules!$B$8),"Not a fit",IF(AND(J16&gt;=Rules!$B$5,J16&lt;=Rules!$B$6,N16="Yes"),"Qualified","Maybe"))))</f>
        <v/>
      </c>
      <c r="P16" s="19"/>
      <c r="Q16" s="17"/>
      <c r="R16" s="17"/>
      <c r="S16" s="17"/>
      <c r="T16" s="17"/>
      <c r="U16" s="23"/>
      <c r="V16" s="17"/>
      <c r="W16" s="21"/>
      <c r="X16" s="18"/>
      <c r="Y16" s="18"/>
      <c r="Z16" s="24" t="str">
        <f aca="false">IF(I16="","",IFERROR(VLOOKUP(I16,Rules!$A$21:$B$30,2,FALSE()),""))</f>
        <v/>
      </c>
    </row>
    <row r="17" customFormat="false" ht="15" hidden="false" customHeight="false" outlineLevel="0" collapsed="false">
      <c r="A17" s="17" t="s">
        <v>115</v>
      </c>
      <c r="B17" s="17"/>
      <c r="C17" s="18"/>
      <c r="D17" s="18"/>
      <c r="E17" s="17"/>
      <c r="F17" s="18"/>
      <c r="G17" s="19"/>
      <c r="H17" s="20" t="str">
        <f aca="false">IF(AND(G17&lt;&gt;"",I17="Contacted"),G17+Rules!$B$17,"")</f>
        <v/>
      </c>
      <c r="I17" s="17"/>
      <c r="J17" s="21"/>
      <c r="K17" s="17"/>
      <c r="L17" s="18"/>
      <c r="M17" s="17"/>
      <c r="N17" s="17"/>
      <c r="O17" s="22" t="str">
        <f aca="false">IF(COUNTA(J17,K17,N17)=0,"",IF(COUNTA(J17,K17,N17)&lt;3,"Incomplete",IF(OR(K17="No",N17="No",J17&lt;Rules!$B$7,J17&gt;Rules!$B$8),"Not a fit",IF(AND(J17&gt;=Rules!$B$5,J17&lt;=Rules!$B$6,N17="Yes"),"Qualified","Maybe"))))</f>
        <v/>
      </c>
      <c r="P17" s="19"/>
      <c r="Q17" s="17"/>
      <c r="R17" s="17"/>
      <c r="S17" s="17"/>
      <c r="T17" s="17"/>
      <c r="U17" s="23"/>
      <c r="V17" s="17"/>
      <c r="W17" s="21"/>
      <c r="X17" s="18"/>
      <c r="Y17" s="18"/>
      <c r="Z17" s="24" t="str">
        <f aca="false">IF(I17="","",IFERROR(VLOOKUP(I17,Rules!$A$21:$B$30,2,FALSE()),""))</f>
        <v/>
      </c>
    </row>
    <row r="18" customFormat="false" ht="15" hidden="false" customHeight="false" outlineLevel="0" collapsed="false">
      <c r="A18" s="17" t="s">
        <v>116</v>
      </c>
      <c r="B18" s="17"/>
      <c r="C18" s="18"/>
      <c r="D18" s="18"/>
      <c r="E18" s="17"/>
      <c r="F18" s="18"/>
      <c r="G18" s="19"/>
      <c r="H18" s="20" t="str">
        <f aca="false">IF(AND(G18&lt;&gt;"",I18="Contacted"),G18+Rules!$B$17,"")</f>
        <v/>
      </c>
      <c r="I18" s="17"/>
      <c r="J18" s="21"/>
      <c r="K18" s="17"/>
      <c r="L18" s="18"/>
      <c r="M18" s="17"/>
      <c r="N18" s="17"/>
      <c r="O18" s="22" t="str">
        <f aca="false">IF(COUNTA(J18,K18,N18)=0,"",IF(COUNTA(J18,K18,N18)&lt;3,"Incomplete",IF(OR(K18="No",N18="No",J18&lt;Rules!$B$7,J18&gt;Rules!$B$8),"Not a fit",IF(AND(J18&gt;=Rules!$B$5,J18&lt;=Rules!$B$6,N18="Yes"),"Qualified","Maybe"))))</f>
        <v/>
      </c>
      <c r="P18" s="19"/>
      <c r="Q18" s="17"/>
      <c r="R18" s="17"/>
      <c r="S18" s="17"/>
      <c r="T18" s="17"/>
      <c r="U18" s="23"/>
      <c r="V18" s="17"/>
      <c r="W18" s="21"/>
      <c r="X18" s="18"/>
      <c r="Y18" s="18"/>
      <c r="Z18" s="24" t="str">
        <f aca="false">IF(I18="","",IFERROR(VLOOKUP(I18,Rules!$A$21:$B$30,2,FALSE()),""))</f>
        <v/>
      </c>
    </row>
    <row r="19" customFormat="false" ht="15" hidden="false" customHeight="false" outlineLevel="0" collapsed="false">
      <c r="A19" s="17" t="s">
        <v>117</v>
      </c>
      <c r="B19" s="17"/>
      <c r="C19" s="18"/>
      <c r="D19" s="18"/>
      <c r="E19" s="17"/>
      <c r="F19" s="18"/>
      <c r="G19" s="19"/>
      <c r="H19" s="20" t="str">
        <f aca="false">IF(AND(G19&lt;&gt;"",I19="Contacted"),G19+Rules!$B$17,"")</f>
        <v/>
      </c>
      <c r="I19" s="17"/>
      <c r="J19" s="21"/>
      <c r="K19" s="17"/>
      <c r="L19" s="18"/>
      <c r="M19" s="17"/>
      <c r="N19" s="17"/>
      <c r="O19" s="22" t="str">
        <f aca="false">IF(COUNTA(J19,K19,N19)=0,"",IF(COUNTA(J19,K19,N19)&lt;3,"Incomplete",IF(OR(K19="No",N19="No",J19&lt;Rules!$B$7,J19&gt;Rules!$B$8),"Not a fit",IF(AND(J19&gt;=Rules!$B$5,J19&lt;=Rules!$B$6,N19="Yes"),"Qualified","Maybe"))))</f>
        <v/>
      </c>
      <c r="P19" s="19"/>
      <c r="Q19" s="17"/>
      <c r="R19" s="17"/>
      <c r="S19" s="17"/>
      <c r="T19" s="17"/>
      <c r="U19" s="23"/>
      <c r="V19" s="17"/>
      <c r="W19" s="21"/>
      <c r="X19" s="18"/>
      <c r="Y19" s="18"/>
      <c r="Z19" s="24" t="str">
        <f aca="false">IF(I19="","",IFERROR(VLOOKUP(I19,Rules!$A$21:$B$30,2,FALSE()),""))</f>
        <v/>
      </c>
    </row>
    <row r="20" customFormat="false" ht="15" hidden="false" customHeight="false" outlineLevel="0" collapsed="false">
      <c r="A20" s="17" t="s">
        <v>118</v>
      </c>
      <c r="B20" s="17"/>
      <c r="C20" s="18"/>
      <c r="D20" s="18"/>
      <c r="E20" s="17"/>
      <c r="F20" s="18"/>
      <c r="G20" s="19"/>
      <c r="H20" s="20" t="str">
        <f aca="false">IF(AND(G20&lt;&gt;"",I20="Contacted"),G20+Rules!$B$17,"")</f>
        <v/>
      </c>
      <c r="I20" s="17"/>
      <c r="J20" s="21"/>
      <c r="K20" s="17"/>
      <c r="L20" s="18"/>
      <c r="M20" s="17"/>
      <c r="N20" s="17"/>
      <c r="O20" s="22" t="str">
        <f aca="false">IF(COUNTA(J20,K20,N20)=0,"",IF(COUNTA(J20,K20,N20)&lt;3,"Incomplete",IF(OR(K20="No",N20="No",J20&lt;Rules!$B$7,J20&gt;Rules!$B$8),"Not a fit",IF(AND(J20&gt;=Rules!$B$5,J20&lt;=Rules!$B$6,N20="Yes"),"Qualified","Maybe"))))</f>
        <v/>
      </c>
      <c r="P20" s="19"/>
      <c r="Q20" s="17"/>
      <c r="R20" s="17"/>
      <c r="S20" s="17"/>
      <c r="T20" s="17"/>
      <c r="U20" s="23"/>
      <c r="V20" s="17"/>
      <c r="W20" s="21"/>
      <c r="X20" s="18"/>
      <c r="Y20" s="18"/>
      <c r="Z20" s="24" t="str">
        <f aca="false">IF(I20="","",IFERROR(VLOOKUP(I20,Rules!$A$21:$B$30,2,FALSE()),""))</f>
        <v/>
      </c>
    </row>
    <row r="21" customFormat="false" ht="15" hidden="false" customHeight="false" outlineLevel="0" collapsed="false">
      <c r="A21" s="17" t="s">
        <v>119</v>
      </c>
      <c r="B21" s="17"/>
      <c r="C21" s="18"/>
      <c r="D21" s="18"/>
      <c r="E21" s="17"/>
      <c r="F21" s="18"/>
      <c r="G21" s="19"/>
      <c r="H21" s="20" t="str">
        <f aca="false">IF(AND(G21&lt;&gt;"",I21="Contacted"),G21+Rules!$B$17,"")</f>
        <v/>
      </c>
      <c r="I21" s="17"/>
      <c r="J21" s="21"/>
      <c r="K21" s="17"/>
      <c r="L21" s="18"/>
      <c r="M21" s="17"/>
      <c r="N21" s="17"/>
      <c r="O21" s="22" t="str">
        <f aca="false">IF(COUNTA(J21,K21,N21)=0,"",IF(COUNTA(J21,K21,N21)&lt;3,"Incomplete",IF(OR(K21="No",N21="No",J21&lt;Rules!$B$7,J21&gt;Rules!$B$8),"Not a fit",IF(AND(J21&gt;=Rules!$B$5,J21&lt;=Rules!$B$6,N21="Yes"),"Qualified","Maybe"))))</f>
        <v/>
      </c>
      <c r="P21" s="19"/>
      <c r="Q21" s="17"/>
      <c r="R21" s="17"/>
      <c r="S21" s="17"/>
      <c r="T21" s="17"/>
      <c r="U21" s="23"/>
      <c r="V21" s="17"/>
      <c r="W21" s="21"/>
      <c r="X21" s="18"/>
      <c r="Y21" s="18"/>
      <c r="Z21" s="24" t="str">
        <f aca="false">IF(I21="","",IFERROR(VLOOKUP(I21,Rules!$A$21:$B$30,2,FALSE()),""))</f>
        <v/>
      </c>
    </row>
    <row r="22" customFormat="false" ht="15" hidden="false" customHeight="false" outlineLevel="0" collapsed="false">
      <c r="A22" s="17" t="s">
        <v>120</v>
      </c>
      <c r="B22" s="17"/>
      <c r="C22" s="18"/>
      <c r="D22" s="18"/>
      <c r="E22" s="17"/>
      <c r="F22" s="18"/>
      <c r="G22" s="19"/>
      <c r="H22" s="20" t="str">
        <f aca="false">IF(AND(G22&lt;&gt;"",I22="Contacted"),G22+Rules!$B$17,"")</f>
        <v/>
      </c>
      <c r="I22" s="17"/>
      <c r="J22" s="21"/>
      <c r="K22" s="17"/>
      <c r="L22" s="18"/>
      <c r="M22" s="17"/>
      <c r="N22" s="17"/>
      <c r="O22" s="22" t="str">
        <f aca="false">IF(COUNTA(J22,K22,N22)=0,"",IF(COUNTA(J22,K22,N22)&lt;3,"Incomplete",IF(OR(K22="No",N22="No",J22&lt;Rules!$B$7,J22&gt;Rules!$B$8),"Not a fit",IF(AND(J22&gt;=Rules!$B$5,J22&lt;=Rules!$B$6,N22="Yes"),"Qualified","Maybe"))))</f>
        <v/>
      </c>
      <c r="P22" s="19"/>
      <c r="Q22" s="17"/>
      <c r="R22" s="17"/>
      <c r="S22" s="17"/>
      <c r="T22" s="17"/>
      <c r="U22" s="23"/>
      <c r="V22" s="17"/>
      <c r="W22" s="21"/>
      <c r="X22" s="18"/>
      <c r="Y22" s="18"/>
      <c r="Z22" s="24" t="str">
        <f aca="false">IF(I22="","",IFERROR(VLOOKUP(I22,Rules!$A$21:$B$30,2,FALSE()),""))</f>
        <v/>
      </c>
    </row>
    <row r="23" customFormat="false" ht="15" hidden="false" customHeight="false" outlineLevel="0" collapsed="false">
      <c r="A23" s="17" t="s">
        <v>121</v>
      </c>
      <c r="B23" s="17"/>
      <c r="C23" s="18"/>
      <c r="D23" s="18"/>
      <c r="E23" s="17"/>
      <c r="F23" s="18"/>
      <c r="G23" s="19"/>
      <c r="H23" s="20" t="str">
        <f aca="false">IF(AND(G23&lt;&gt;"",I23="Contacted"),G23+Rules!$B$17,"")</f>
        <v/>
      </c>
      <c r="I23" s="17"/>
      <c r="J23" s="21"/>
      <c r="K23" s="17"/>
      <c r="L23" s="18"/>
      <c r="M23" s="17"/>
      <c r="N23" s="17"/>
      <c r="O23" s="22" t="str">
        <f aca="false">IF(COUNTA(J23,K23,N23)=0,"",IF(COUNTA(J23,K23,N23)&lt;3,"Incomplete",IF(OR(K23="No",N23="No",J23&lt;Rules!$B$7,J23&gt;Rules!$B$8),"Not a fit",IF(AND(J23&gt;=Rules!$B$5,J23&lt;=Rules!$B$6,N23="Yes"),"Qualified","Maybe"))))</f>
        <v/>
      </c>
      <c r="P23" s="19"/>
      <c r="Q23" s="17"/>
      <c r="R23" s="17"/>
      <c r="S23" s="17"/>
      <c r="T23" s="17"/>
      <c r="U23" s="23"/>
      <c r="V23" s="17"/>
      <c r="W23" s="21"/>
      <c r="X23" s="18"/>
      <c r="Y23" s="18"/>
      <c r="Z23" s="24" t="str">
        <f aca="false">IF(I23="","",IFERROR(VLOOKUP(I23,Rules!$A$21:$B$30,2,FALSE()),""))</f>
        <v/>
      </c>
    </row>
    <row r="24" customFormat="false" ht="15" hidden="false" customHeight="false" outlineLevel="0" collapsed="false">
      <c r="A24" s="17" t="s">
        <v>122</v>
      </c>
      <c r="B24" s="17"/>
      <c r="C24" s="18"/>
      <c r="D24" s="18"/>
      <c r="E24" s="17"/>
      <c r="F24" s="18"/>
      <c r="G24" s="19"/>
      <c r="H24" s="20" t="str">
        <f aca="false">IF(AND(G24&lt;&gt;"",I24="Contacted"),G24+Rules!$B$17,"")</f>
        <v/>
      </c>
      <c r="I24" s="17"/>
      <c r="J24" s="21"/>
      <c r="K24" s="17"/>
      <c r="L24" s="18"/>
      <c r="M24" s="17"/>
      <c r="N24" s="17"/>
      <c r="O24" s="22" t="str">
        <f aca="false">IF(COUNTA(J24,K24,N24)=0,"",IF(COUNTA(J24,K24,N24)&lt;3,"Incomplete",IF(OR(K24="No",N24="No",J24&lt;Rules!$B$7,J24&gt;Rules!$B$8),"Not a fit",IF(AND(J24&gt;=Rules!$B$5,J24&lt;=Rules!$B$6,N24="Yes"),"Qualified","Maybe"))))</f>
        <v/>
      </c>
      <c r="P24" s="19"/>
      <c r="Q24" s="17"/>
      <c r="R24" s="17"/>
      <c r="S24" s="17"/>
      <c r="T24" s="17"/>
      <c r="U24" s="23"/>
      <c r="V24" s="17"/>
      <c r="W24" s="21"/>
      <c r="X24" s="18"/>
      <c r="Y24" s="18"/>
      <c r="Z24" s="24" t="str">
        <f aca="false">IF(I24="","",IFERROR(VLOOKUP(I24,Rules!$A$21:$B$30,2,FALSE()),""))</f>
        <v/>
      </c>
    </row>
    <row r="25" customFormat="false" ht="15" hidden="false" customHeight="false" outlineLevel="0" collapsed="false">
      <c r="A25" s="17" t="s">
        <v>123</v>
      </c>
      <c r="B25" s="17"/>
      <c r="C25" s="18"/>
      <c r="D25" s="18"/>
      <c r="E25" s="17"/>
      <c r="F25" s="18"/>
      <c r="G25" s="19"/>
      <c r="H25" s="20" t="str">
        <f aca="false">IF(AND(G25&lt;&gt;"",I25="Contacted"),G25+Rules!$B$17,"")</f>
        <v/>
      </c>
      <c r="I25" s="17"/>
      <c r="J25" s="21"/>
      <c r="K25" s="17"/>
      <c r="L25" s="18"/>
      <c r="M25" s="17"/>
      <c r="N25" s="17"/>
      <c r="O25" s="22" t="str">
        <f aca="false">IF(COUNTA(J25,K25,N25)=0,"",IF(COUNTA(J25,K25,N25)&lt;3,"Incomplete",IF(OR(K25="No",N25="No",J25&lt;Rules!$B$7,J25&gt;Rules!$B$8),"Not a fit",IF(AND(J25&gt;=Rules!$B$5,J25&lt;=Rules!$B$6,N25="Yes"),"Qualified","Maybe"))))</f>
        <v/>
      </c>
      <c r="P25" s="19"/>
      <c r="Q25" s="17"/>
      <c r="R25" s="17"/>
      <c r="S25" s="17"/>
      <c r="T25" s="17"/>
      <c r="U25" s="23"/>
      <c r="V25" s="17"/>
      <c r="W25" s="21"/>
      <c r="X25" s="18"/>
      <c r="Y25" s="18"/>
      <c r="Z25" s="24" t="str">
        <f aca="false">IF(I25="","",IFERROR(VLOOKUP(I25,Rules!$A$21:$B$30,2,FALSE()),""))</f>
        <v/>
      </c>
    </row>
    <row r="26" customFormat="false" ht="15" hidden="false" customHeight="false" outlineLevel="0" collapsed="false">
      <c r="A26" s="17" t="s">
        <v>124</v>
      </c>
      <c r="B26" s="17"/>
      <c r="C26" s="18"/>
      <c r="D26" s="18"/>
      <c r="E26" s="17"/>
      <c r="F26" s="18"/>
      <c r="G26" s="19"/>
      <c r="H26" s="20" t="str">
        <f aca="false">IF(AND(G26&lt;&gt;"",I26="Contacted"),G26+Rules!$B$17,"")</f>
        <v/>
      </c>
      <c r="I26" s="17"/>
      <c r="J26" s="21"/>
      <c r="K26" s="17"/>
      <c r="L26" s="18"/>
      <c r="M26" s="17"/>
      <c r="N26" s="17"/>
      <c r="O26" s="22" t="str">
        <f aca="false">IF(COUNTA(J26,K26,N26)=0,"",IF(COUNTA(J26,K26,N26)&lt;3,"Incomplete",IF(OR(K26="No",N26="No",J26&lt;Rules!$B$7,J26&gt;Rules!$B$8),"Not a fit",IF(AND(J26&gt;=Rules!$B$5,J26&lt;=Rules!$B$6,N26="Yes"),"Qualified","Maybe"))))</f>
        <v/>
      </c>
      <c r="P26" s="19"/>
      <c r="Q26" s="17"/>
      <c r="R26" s="17"/>
      <c r="S26" s="17"/>
      <c r="T26" s="17"/>
      <c r="U26" s="23"/>
      <c r="V26" s="17"/>
      <c r="W26" s="21"/>
      <c r="X26" s="18"/>
      <c r="Y26" s="18"/>
      <c r="Z26" s="24" t="str">
        <f aca="false">IF(I26="","",IFERROR(VLOOKUP(I26,Rules!$A$21:$B$30,2,FALSE()),""))</f>
        <v/>
      </c>
    </row>
    <row r="27" customFormat="false" ht="15" hidden="false" customHeight="false" outlineLevel="0" collapsed="false">
      <c r="A27" s="17" t="s">
        <v>125</v>
      </c>
      <c r="B27" s="17"/>
      <c r="C27" s="18"/>
      <c r="D27" s="18"/>
      <c r="E27" s="17"/>
      <c r="F27" s="18"/>
      <c r="G27" s="19"/>
      <c r="H27" s="20" t="str">
        <f aca="false">IF(AND(G27&lt;&gt;"",I27="Contacted"),G27+Rules!$B$17,"")</f>
        <v/>
      </c>
      <c r="I27" s="17"/>
      <c r="J27" s="21"/>
      <c r="K27" s="17"/>
      <c r="L27" s="18"/>
      <c r="M27" s="17"/>
      <c r="N27" s="17"/>
      <c r="O27" s="22" t="str">
        <f aca="false">IF(COUNTA(J27,K27,N27)=0,"",IF(COUNTA(J27,K27,N27)&lt;3,"Incomplete",IF(OR(K27="No",N27="No",J27&lt;Rules!$B$7,J27&gt;Rules!$B$8),"Not a fit",IF(AND(J27&gt;=Rules!$B$5,J27&lt;=Rules!$B$6,N27="Yes"),"Qualified","Maybe"))))</f>
        <v/>
      </c>
      <c r="P27" s="19"/>
      <c r="Q27" s="17"/>
      <c r="R27" s="17"/>
      <c r="S27" s="17"/>
      <c r="T27" s="17"/>
      <c r="U27" s="23"/>
      <c r="V27" s="17"/>
      <c r="W27" s="21"/>
      <c r="X27" s="18"/>
      <c r="Y27" s="18"/>
      <c r="Z27" s="24" t="str">
        <f aca="false">IF(I27="","",IFERROR(VLOOKUP(I27,Rules!$A$21:$B$30,2,FALSE()),""))</f>
        <v/>
      </c>
    </row>
    <row r="28" customFormat="false" ht="15" hidden="false" customHeight="false" outlineLevel="0" collapsed="false">
      <c r="A28" s="17" t="s">
        <v>126</v>
      </c>
      <c r="B28" s="17"/>
      <c r="C28" s="18"/>
      <c r="D28" s="18"/>
      <c r="E28" s="17"/>
      <c r="F28" s="18"/>
      <c r="G28" s="19"/>
      <c r="H28" s="20" t="str">
        <f aca="false">IF(AND(G28&lt;&gt;"",I28="Contacted"),G28+Rules!$B$17,"")</f>
        <v/>
      </c>
      <c r="I28" s="17"/>
      <c r="J28" s="21"/>
      <c r="K28" s="17"/>
      <c r="L28" s="18"/>
      <c r="M28" s="17"/>
      <c r="N28" s="17"/>
      <c r="O28" s="22" t="str">
        <f aca="false">IF(COUNTA(J28,K28,N28)=0,"",IF(COUNTA(J28,K28,N28)&lt;3,"Incomplete",IF(OR(K28="No",N28="No",J28&lt;Rules!$B$7,J28&gt;Rules!$B$8),"Not a fit",IF(AND(J28&gt;=Rules!$B$5,J28&lt;=Rules!$B$6,N28="Yes"),"Qualified","Maybe"))))</f>
        <v/>
      </c>
      <c r="P28" s="19"/>
      <c r="Q28" s="17"/>
      <c r="R28" s="17"/>
      <c r="S28" s="17"/>
      <c r="T28" s="17"/>
      <c r="U28" s="23"/>
      <c r="V28" s="17"/>
      <c r="W28" s="21"/>
      <c r="X28" s="18"/>
      <c r="Y28" s="18"/>
      <c r="Z28" s="24" t="str">
        <f aca="false">IF(I28="","",IFERROR(VLOOKUP(I28,Rules!$A$21:$B$30,2,FALSE()),""))</f>
        <v/>
      </c>
    </row>
    <row r="29" customFormat="false" ht="15" hidden="false" customHeight="false" outlineLevel="0" collapsed="false">
      <c r="A29" s="17" t="s">
        <v>127</v>
      </c>
      <c r="B29" s="17"/>
      <c r="C29" s="18"/>
      <c r="D29" s="18"/>
      <c r="E29" s="17"/>
      <c r="F29" s="18"/>
      <c r="G29" s="19"/>
      <c r="H29" s="20" t="str">
        <f aca="false">IF(AND(G29&lt;&gt;"",I29="Contacted"),G29+Rules!$B$17,"")</f>
        <v/>
      </c>
      <c r="I29" s="17"/>
      <c r="J29" s="21"/>
      <c r="K29" s="17"/>
      <c r="L29" s="18"/>
      <c r="M29" s="17"/>
      <c r="N29" s="17"/>
      <c r="O29" s="22" t="str">
        <f aca="false">IF(COUNTA(J29,K29,N29)=0,"",IF(COUNTA(J29,K29,N29)&lt;3,"Incomplete",IF(OR(K29="No",N29="No",J29&lt;Rules!$B$7,J29&gt;Rules!$B$8),"Not a fit",IF(AND(J29&gt;=Rules!$B$5,J29&lt;=Rules!$B$6,N29="Yes"),"Qualified","Maybe"))))</f>
        <v/>
      </c>
      <c r="P29" s="19"/>
      <c r="Q29" s="17"/>
      <c r="R29" s="17"/>
      <c r="S29" s="17"/>
      <c r="T29" s="17"/>
      <c r="U29" s="23"/>
      <c r="V29" s="17"/>
      <c r="W29" s="21"/>
      <c r="X29" s="18"/>
      <c r="Y29" s="18"/>
      <c r="Z29" s="24" t="str">
        <f aca="false">IF(I29="","",IFERROR(VLOOKUP(I29,Rules!$A$21:$B$30,2,FALSE()),""))</f>
        <v/>
      </c>
    </row>
    <row r="30" customFormat="false" ht="15" hidden="false" customHeight="false" outlineLevel="0" collapsed="false">
      <c r="A30" s="17" t="s">
        <v>128</v>
      </c>
      <c r="B30" s="17"/>
      <c r="C30" s="18"/>
      <c r="D30" s="18"/>
      <c r="E30" s="17"/>
      <c r="F30" s="18"/>
      <c r="G30" s="19"/>
      <c r="H30" s="20" t="str">
        <f aca="false">IF(AND(G30&lt;&gt;"",I30="Contacted"),G30+Rules!$B$17,"")</f>
        <v/>
      </c>
      <c r="I30" s="17"/>
      <c r="J30" s="21"/>
      <c r="K30" s="17"/>
      <c r="L30" s="18"/>
      <c r="M30" s="17"/>
      <c r="N30" s="17"/>
      <c r="O30" s="22" t="str">
        <f aca="false">IF(COUNTA(J30,K30,N30)=0,"",IF(COUNTA(J30,K30,N30)&lt;3,"Incomplete",IF(OR(K30="No",N30="No",J30&lt;Rules!$B$7,J30&gt;Rules!$B$8),"Not a fit",IF(AND(J30&gt;=Rules!$B$5,J30&lt;=Rules!$B$6,N30="Yes"),"Qualified","Maybe"))))</f>
        <v/>
      </c>
      <c r="P30" s="19"/>
      <c r="Q30" s="17"/>
      <c r="R30" s="17"/>
      <c r="S30" s="17"/>
      <c r="T30" s="17"/>
      <c r="U30" s="23"/>
      <c r="V30" s="17"/>
      <c r="W30" s="21"/>
      <c r="X30" s="18"/>
      <c r="Y30" s="18"/>
      <c r="Z30" s="24" t="str">
        <f aca="false">IF(I30="","",IFERROR(VLOOKUP(I30,Rules!$A$21:$B$30,2,FALSE()),""))</f>
        <v/>
      </c>
    </row>
    <row r="31" customFormat="false" ht="15" hidden="false" customHeight="false" outlineLevel="0" collapsed="false">
      <c r="A31" s="17" t="s">
        <v>129</v>
      </c>
      <c r="B31" s="17"/>
      <c r="C31" s="18"/>
      <c r="D31" s="18"/>
      <c r="E31" s="17"/>
      <c r="F31" s="18"/>
      <c r="G31" s="19"/>
      <c r="H31" s="20" t="str">
        <f aca="false">IF(AND(G31&lt;&gt;"",I31="Contacted"),G31+Rules!$B$17,"")</f>
        <v/>
      </c>
      <c r="I31" s="17"/>
      <c r="J31" s="21"/>
      <c r="K31" s="17"/>
      <c r="L31" s="18"/>
      <c r="M31" s="17"/>
      <c r="N31" s="17"/>
      <c r="O31" s="22" t="str">
        <f aca="false">IF(COUNTA(J31,K31,N31)=0,"",IF(COUNTA(J31,K31,N31)&lt;3,"Incomplete",IF(OR(K31="No",N31="No",J31&lt;Rules!$B$7,J31&gt;Rules!$B$8),"Not a fit",IF(AND(J31&gt;=Rules!$B$5,J31&lt;=Rules!$B$6,N31="Yes"),"Qualified","Maybe"))))</f>
        <v/>
      </c>
      <c r="P31" s="19"/>
      <c r="Q31" s="17"/>
      <c r="R31" s="17"/>
      <c r="S31" s="17"/>
      <c r="T31" s="17"/>
      <c r="U31" s="23"/>
      <c r="V31" s="17"/>
      <c r="W31" s="21"/>
      <c r="X31" s="18"/>
      <c r="Y31" s="18"/>
      <c r="Z31" s="24" t="str">
        <f aca="false">IF(I31="","",IFERROR(VLOOKUP(I31,Rules!$A$21:$B$30,2,FALSE()),""))</f>
        <v/>
      </c>
    </row>
    <row r="32" customFormat="false" ht="15" hidden="false" customHeight="false" outlineLevel="0" collapsed="false">
      <c r="A32" s="17" t="s">
        <v>130</v>
      </c>
      <c r="B32" s="17"/>
      <c r="C32" s="18"/>
      <c r="D32" s="18"/>
      <c r="E32" s="17"/>
      <c r="F32" s="18"/>
      <c r="G32" s="19"/>
      <c r="H32" s="20" t="str">
        <f aca="false">IF(AND(G32&lt;&gt;"",I32="Contacted"),G32+Rules!$B$17,"")</f>
        <v/>
      </c>
      <c r="I32" s="17"/>
      <c r="J32" s="21"/>
      <c r="K32" s="17"/>
      <c r="L32" s="18"/>
      <c r="M32" s="17"/>
      <c r="N32" s="17"/>
      <c r="O32" s="22" t="str">
        <f aca="false">IF(COUNTA(J32,K32,N32)=0,"",IF(COUNTA(J32,K32,N32)&lt;3,"Incomplete",IF(OR(K32="No",N32="No",J32&lt;Rules!$B$7,J32&gt;Rules!$B$8),"Not a fit",IF(AND(J32&gt;=Rules!$B$5,J32&lt;=Rules!$B$6,N32="Yes"),"Qualified","Maybe"))))</f>
        <v/>
      </c>
      <c r="P32" s="19"/>
      <c r="Q32" s="17"/>
      <c r="R32" s="17"/>
      <c r="S32" s="17"/>
      <c r="T32" s="17"/>
      <c r="U32" s="23"/>
      <c r="V32" s="17"/>
      <c r="W32" s="21"/>
      <c r="X32" s="18"/>
      <c r="Y32" s="18"/>
      <c r="Z32" s="24" t="str">
        <f aca="false">IF(I32="","",IFERROR(VLOOKUP(I32,Rules!$A$21:$B$30,2,FALSE()),""))</f>
        <v/>
      </c>
    </row>
    <row r="33" customFormat="false" ht="15" hidden="false" customHeight="false" outlineLevel="0" collapsed="false">
      <c r="A33" s="17" t="s">
        <v>131</v>
      </c>
      <c r="B33" s="17"/>
      <c r="C33" s="18"/>
      <c r="D33" s="18"/>
      <c r="E33" s="17"/>
      <c r="F33" s="18"/>
      <c r="G33" s="19"/>
      <c r="H33" s="20" t="str">
        <f aca="false">IF(AND(G33&lt;&gt;"",I33="Contacted"),G33+Rules!$B$17,"")</f>
        <v/>
      </c>
      <c r="I33" s="17"/>
      <c r="J33" s="21"/>
      <c r="K33" s="17"/>
      <c r="L33" s="18"/>
      <c r="M33" s="17"/>
      <c r="N33" s="17"/>
      <c r="O33" s="22" t="str">
        <f aca="false">IF(COUNTA(J33,K33,N33)=0,"",IF(COUNTA(J33,K33,N33)&lt;3,"Incomplete",IF(OR(K33="No",N33="No",J33&lt;Rules!$B$7,J33&gt;Rules!$B$8),"Not a fit",IF(AND(J33&gt;=Rules!$B$5,J33&lt;=Rules!$B$6,N33="Yes"),"Qualified","Maybe"))))</f>
        <v/>
      </c>
      <c r="P33" s="19"/>
      <c r="Q33" s="17"/>
      <c r="R33" s="17"/>
      <c r="S33" s="17"/>
      <c r="T33" s="17"/>
      <c r="U33" s="23"/>
      <c r="V33" s="17"/>
      <c r="W33" s="21"/>
      <c r="X33" s="18"/>
      <c r="Y33" s="18"/>
      <c r="Z33" s="24" t="str">
        <f aca="false">IF(I33="","",IFERROR(VLOOKUP(I33,Rules!$A$21:$B$30,2,FALSE()),""))</f>
        <v/>
      </c>
    </row>
    <row r="34" customFormat="false" ht="15" hidden="false" customHeight="false" outlineLevel="0" collapsed="false">
      <c r="A34" s="17" t="s">
        <v>132</v>
      </c>
      <c r="B34" s="17"/>
      <c r="C34" s="18"/>
      <c r="D34" s="18"/>
      <c r="E34" s="17"/>
      <c r="F34" s="18"/>
      <c r="G34" s="19"/>
      <c r="H34" s="20" t="str">
        <f aca="false">IF(AND(G34&lt;&gt;"",I34="Contacted"),G34+Rules!$B$17,"")</f>
        <v/>
      </c>
      <c r="I34" s="17"/>
      <c r="J34" s="21"/>
      <c r="K34" s="17"/>
      <c r="L34" s="18"/>
      <c r="M34" s="17"/>
      <c r="N34" s="17"/>
      <c r="O34" s="22" t="str">
        <f aca="false">IF(COUNTA(J34,K34,N34)=0,"",IF(COUNTA(J34,K34,N34)&lt;3,"Incomplete",IF(OR(K34="No",N34="No",J34&lt;Rules!$B$7,J34&gt;Rules!$B$8),"Not a fit",IF(AND(J34&gt;=Rules!$B$5,J34&lt;=Rules!$B$6,N34="Yes"),"Qualified","Maybe"))))</f>
        <v/>
      </c>
      <c r="P34" s="19"/>
      <c r="Q34" s="17"/>
      <c r="R34" s="17"/>
      <c r="S34" s="17"/>
      <c r="T34" s="17"/>
      <c r="U34" s="23"/>
      <c r="V34" s="17"/>
      <c r="W34" s="21"/>
      <c r="X34" s="18"/>
      <c r="Y34" s="18"/>
      <c r="Z34" s="24" t="str">
        <f aca="false">IF(I34="","",IFERROR(VLOOKUP(I34,Rules!$A$21:$B$30,2,FALSE()),""))</f>
        <v/>
      </c>
    </row>
    <row r="35" customFormat="false" ht="15" hidden="false" customHeight="false" outlineLevel="0" collapsed="false">
      <c r="A35" s="17" t="s">
        <v>133</v>
      </c>
      <c r="B35" s="17"/>
      <c r="C35" s="18"/>
      <c r="D35" s="18"/>
      <c r="E35" s="17"/>
      <c r="F35" s="18"/>
      <c r="G35" s="19"/>
      <c r="H35" s="20" t="str">
        <f aca="false">IF(AND(G35&lt;&gt;"",I35="Contacted"),G35+Rules!$B$17,"")</f>
        <v/>
      </c>
      <c r="I35" s="17"/>
      <c r="J35" s="21"/>
      <c r="K35" s="17"/>
      <c r="L35" s="18"/>
      <c r="M35" s="17"/>
      <c r="N35" s="17"/>
      <c r="O35" s="22" t="str">
        <f aca="false">IF(COUNTA(J35,K35,N35)=0,"",IF(COUNTA(J35,K35,N35)&lt;3,"Incomplete",IF(OR(K35="No",N35="No",J35&lt;Rules!$B$7,J35&gt;Rules!$B$8),"Not a fit",IF(AND(J35&gt;=Rules!$B$5,J35&lt;=Rules!$B$6,N35="Yes"),"Qualified","Maybe"))))</f>
        <v/>
      </c>
      <c r="P35" s="19"/>
      <c r="Q35" s="17"/>
      <c r="R35" s="17"/>
      <c r="S35" s="17"/>
      <c r="T35" s="17"/>
      <c r="U35" s="23"/>
      <c r="V35" s="17"/>
      <c r="W35" s="21"/>
      <c r="X35" s="18"/>
      <c r="Y35" s="18"/>
      <c r="Z35" s="24" t="str">
        <f aca="false">IF(I35="","",IFERROR(VLOOKUP(I35,Rules!$A$21:$B$30,2,FALSE()),""))</f>
        <v/>
      </c>
    </row>
    <row r="36" customFormat="false" ht="15" hidden="false" customHeight="false" outlineLevel="0" collapsed="false">
      <c r="A36" s="17" t="s">
        <v>134</v>
      </c>
      <c r="B36" s="17"/>
      <c r="C36" s="18"/>
      <c r="D36" s="18"/>
      <c r="E36" s="17"/>
      <c r="F36" s="18"/>
      <c r="G36" s="19"/>
      <c r="H36" s="20" t="str">
        <f aca="false">IF(AND(G36&lt;&gt;"",I36="Contacted"),G36+Rules!$B$17,"")</f>
        <v/>
      </c>
      <c r="I36" s="17"/>
      <c r="J36" s="21"/>
      <c r="K36" s="17"/>
      <c r="L36" s="18"/>
      <c r="M36" s="17"/>
      <c r="N36" s="17"/>
      <c r="O36" s="22" t="str">
        <f aca="false">IF(COUNTA(J36,K36,N36)=0,"",IF(COUNTA(J36,K36,N36)&lt;3,"Incomplete",IF(OR(K36="No",N36="No",J36&lt;Rules!$B$7,J36&gt;Rules!$B$8),"Not a fit",IF(AND(J36&gt;=Rules!$B$5,J36&lt;=Rules!$B$6,N36="Yes"),"Qualified","Maybe"))))</f>
        <v/>
      </c>
      <c r="P36" s="19"/>
      <c r="Q36" s="17"/>
      <c r="R36" s="17"/>
      <c r="S36" s="17"/>
      <c r="T36" s="17"/>
      <c r="U36" s="23"/>
      <c r="V36" s="17"/>
      <c r="W36" s="21"/>
      <c r="X36" s="18"/>
      <c r="Y36" s="18"/>
      <c r="Z36" s="24" t="str">
        <f aca="false">IF(I36="","",IFERROR(VLOOKUP(I36,Rules!$A$21:$B$30,2,FALSE()),""))</f>
        <v/>
      </c>
    </row>
    <row r="37" customFormat="false" ht="15" hidden="false" customHeight="false" outlineLevel="0" collapsed="false">
      <c r="A37" s="17" t="s">
        <v>135</v>
      </c>
      <c r="B37" s="17"/>
      <c r="C37" s="18"/>
      <c r="D37" s="18"/>
      <c r="E37" s="17"/>
      <c r="F37" s="18"/>
      <c r="G37" s="19"/>
      <c r="H37" s="20" t="str">
        <f aca="false">IF(AND(G37&lt;&gt;"",I37="Contacted"),G37+Rules!$B$17,"")</f>
        <v/>
      </c>
      <c r="I37" s="17"/>
      <c r="J37" s="21"/>
      <c r="K37" s="17"/>
      <c r="L37" s="18"/>
      <c r="M37" s="17"/>
      <c r="N37" s="17"/>
      <c r="O37" s="22" t="str">
        <f aca="false">IF(COUNTA(J37,K37,N37)=0,"",IF(COUNTA(J37,K37,N37)&lt;3,"Incomplete",IF(OR(K37="No",N37="No",J37&lt;Rules!$B$7,J37&gt;Rules!$B$8),"Not a fit",IF(AND(J37&gt;=Rules!$B$5,J37&lt;=Rules!$B$6,N37="Yes"),"Qualified","Maybe"))))</f>
        <v/>
      </c>
      <c r="P37" s="19"/>
      <c r="Q37" s="17"/>
      <c r="R37" s="17"/>
      <c r="S37" s="17"/>
      <c r="T37" s="17"/>
      <c r="U37" s="23"/>
      <c r="V37" s="17"/>
      <c r="W37" s="21"/>
      <c r="X37" s="18"/>
      <c r="Y37" s="18"/>
      <c r="Z37" s="24" t="str">
        <f aca="false">IF(I37="","",IFERROR(VLOOKUP(I37,Rules!$A$21:$B$30,2,FALSE()),""))</f>
        <v/>
      </c>
    </row>
    <row r="38" customFormat="false" ht="15" hidden="false" customHeight="false" outlineLevel="0" collapsed="false">
      <c r="A38" s="17" t="s">
        <v>136</v>
      </c>
      <c r="B38" s="17"/>
      <c r="C38" s="18"/>
      <c r="D38" s="18"/>
      <c r="E38" s="17"/>
      <c r="F38" s="18"/>
      <c r="G38" s="19"/>
      <c r="H38" s="20" t="str">
        <f aca="false">IF(AND(G38&lt;&gt;"",I38="Contacted"),G38+Rules!$B$17,"")</f>
        <v/>
      </c>
      <c r="I38" s="17"/>
      <c r="J38" s="21"/>
      <c r="K38" s="17"/>
      <c r="L38" s="18"/>
      <c r="M38" s="17"/>
      <c r="N38" s="17"/>
      <c r="O38" s="22" t="str">
        <f aca="false">IF(COUNTA(J38,K38,N38)=0,"",IF(COUNTA(J38,K38,N38)&lt;3,"Incomplete",IF(OR(K38="No",N38="No",J38&lt;Rules!$B$7,J38&gt;Rules!$B$8),"Not a fit",IF(AND(J38&gt;=Rules!$B$5,J38&lt;=Rules!$B$6,N38="Yes"),"Qualified","Maybe"))))</f>
        <v/>
      </c>
      <c r="P38" s="19"/>
      <c r="Q38" s="17"/>
      <c r="R38" s="17"/>
      <c r="S38" s="17"/>
      <c r="T38" s="17"/>
      <c r="U38" s="23"/>
      <c r="V38" s="17"/>
      <c r="W38" s="21"/>
      <c r="X38" s="18"/>
      <c r="Y38" s="18"/>
      <c r="Z38" s="24" t="str">
        <f aca="false">IF(I38="","",IFERROR(VLOOKUP(I38,Rules!$A$21:$B$30,2,FALSE()),""))</f>
        <v/>
      </c>
    </row>
    <row r="39" customFormat="false" ht="15" hidden="false" customHeight="false" outlineLevel="0" collapsed="false">
      <c r="A39" s="17" t="s">
        <v>137</v>
      </c>
      <c r="B39" s="17"/>
      <c r="C39" s="18"/>
      <c r="D39" s="18"/>
      <c r="E39" s="17"/>
      <c r="F39" s="18"/>
      <c r="G39" s="19"/>
      <c r="H39" s="20" t="str">
        <f aca="false">IF(AND(G39&lt;&gt;"",I39="Contacted"),G39+Rules!$B$17,"")</f>
        <v/>
      </c>
      <c r="I39" s="17"/>
      <c r="J39" s="21"/>
      <c r="K39" s="17"/>
      <c r="L39" s="18"/>
      <c r="M39" s="17"/>
      <c r="N39" s="17"/>
      <c r="O39" s="22" t="str">
        <f aca="false">IF(COUNTA(J39,K39,N39)=0,"",IF(COUNTA(J39,K39,N39)&lt;3,"Incomplete",IF(OR(K39="No",N39="No",J39&lt;Rules!$B$7,J39&gt;Rules!$B$8),"Not a fit",IF(AND(J39&gt;=Rules!$B$5,J39&lt;=Rules!$B$6,N39="Yes"),"Qualified","Maybe"))))</f>
        <v/>
      </c>
      <c r="P39" s="19"/>
      <c r="Q39" s="17"/>
      <c r="R39" s="17"/>
      <c r="S39" s="17"/>
      <c r="T39" s="17"/>
      <c r="U39" s="23"/>
      <c r="V39" s="17"/>
      <c r="W39" s="21"/>
      <c r="X39" s="18"/>
      <c r="Y39" s="18"/>
      <c r="Z39" s="24" t="str">
        <f aca="false">IF(I39="","",IFERROR(VLOOKUP(I39,Rules!$A$21:$B$30,2,FALSE()),""))</f>
        <v/>
      </c>
    </row>
    <row r="40" customFormat="false" ht="15" hidden="false" customHeight="false" outlineLevel="0" collapsed="false">
      <c r="A40" s="17" t="s">
        <v>138</v>
      </c>
      <c r="B40" s="17"/>
      <c r="C40" s="18"/>
      <c r="D40" s="18"/>
      <c r="E40" s="17"/>
      <c r="F40" s="18"/>
      <c r="G40" s="19"/>
      <c r="H40" s="20" t="str">
        <f aca="false">IF(AND(G40&lt;&gt;"",I40="Contacted"),G40+Rules!$B$17,"")</f>
        <v/>
      </c>
      <c r="I40" s="17"/>
      <c r="J40" s="21"/>
      <c r="K40" s="17"/>
      <c r="L40" s="18"/>
      <c r="M40" s="17"/>
      <c r="N40" s="17"/>
      <c r="O40" s="22" t="str">
        <f aca="false">IF(COUNTA(J40,K40,N40)=0,"",IF(COUNTA(J40,K40,N40)&lt;3,"Incomplete",IF(OR(K40="No",N40="No",J40&lt;Rules!$B$7,J40&gt;Rules!$B$8),"Not a fit",IF(AND(J40&gt;=Rules!$B$5,J40&lt;=Rules!$B$6,N40="Yes"),"Qualified","Maybe"))))</f>
        <v/>
      </c>
      <c r="P40" s="19"/>
      <c r="Q40" s="17"/>
      <c r="R40" s="17"/>
      <c r="S40" s="17"/>
      <c r="T40" s="17"/>
      <c r="U40" s="23"/>
      <c r="V40" s="17"/>
      <c r="W40" s="21"/>
      <c r="X40" s="18"/>
      <c r="Y40" s="18"/>
      <c r="Z40" s="24" t="str">
        <f aca="false">IF(I40="","",IFERROR(VLOOKUP(I40,Rules!$A$21:$B$30,2,FALSE()),""))</f>
        <v/>
      </c>
    </row>
    <row r="41" customFormat="false" ht="15" hidden="false" customHeight="false" outlineLevel="0" collapsed="false">
      <c r="A41" s="17" t="s">
        <v>139</v>
      </c>
      <c r="B41" s="17"/>
      <c r="C41" s="18"/>
      <c r="D41" s="18"/>
      <c r="E41" s="17"/>
      <c r="F41" s="18"/>
      <c r="G41" s="19"/>
      <c r="H41" s="20" t="str">
        <f aca="false">IF(AND(G41&lt;&gt;"",I41="Contacted"),G41+Rules!$B$17,"")</f>
        <v/>
      </c>
      <c r="I41" s="17"/>
      <c r="J41" s="21"/>
      <c r="K41" s="17"/>
      <c r="L41" s="18"/>
      <c r="M41" s="17"/>
      <c r="N41" s="17"/>
      <c r="O41" s="22" t="str">
        <f aca="false">IF(COUNTA(J41,K41,N41)=0,"",IF(COUNTA(J41,K41,N41)&lt;3,"Incomplete",IF(OR(K41="No",N41="No",J41&lt;Rules!$B$7,J41&gt;Rules!$B$8),"Not a fit",IF(AND(J41&gt;=Rules!$B$5,J41&lt;=Rules!$B$6,N41="Yes"),"Qualified","Maybe"))))</f>
        <v/>
      </c>
      <c r="P41" s="19"/>
      <c r="Q41" s="17"/>
      <c r="R41" s="17"/>
      <c r="S41" s="17"/>
      <c r="T41" s="17"/>
      <c r="U41" s="23"/>
      <c r="V41" s="17"/>
      <c r="W41" s="21"/>
      <c r="X41" s="18"/>
      <c r="Y41" s="18"/>
      <c r="Z41" s="24" t="str">
        <f aca="false">IF(I41="","",IFERROR(VLOOKUP(I41,Rules!$A$21:$B$30,2,FALSE()),""))</f>
        <v/>
      </c>
    </row>
    <row r="42" customFormat="false" ht="15" hidden="false" customHeight="false" outlineLevel="0" collapsed="false">
      <c r="A42" s="17" t="s">
        <v>140</v>
      </c>
      <c r="B42" s="17"/>
      <c r="C42" s="18"/>
      <c r="D42" s="18"/>
      <c r="E42" s="17"/>
      <c r="F42" s="18"/>
      <c r="G42" s="19"/>
      <c r="H42" s="20" t="str">
        <f aca="false">IF(AND(G42&lt;&gt;"",I42="Contacted"),G42+Rules!$B$17,"")</f>
        <v/>
      </c>
      <c r="I42" s="17"/>
      <c r="J42" s="21"/>
      <c r="K42" s="17"/>
      <c r="L42" s="18"/>
      <c r="M42" s="17"/>
      <c r="N42" s="17"/>
      <c r="O42" s="22" t="str">
        <f aca="false">IF(COUNTA(J42,K42,N42)=0,"",IF(COUNTA(J42,K42,N42)&lt;3,"Incomplete",IF(OR(K42="No",N42="No",J42&lt;Rules!$B$7,J42&gt;Rules!$B$8),"Not a fit",IF(AND(J42&gt;=Rules!$B$5,J42&lt;=Rules!$B$6,N42="Yes"),"Qualified","Maybe"))))</f>
        <v/>
      </c>
      <c r="P42" s="19"/>
      <c r="Q42" s="17"/>
      <c r="R42" s="17"/>
      <c r="S42" s="17"/>
      <c r="T42" s="17"/>
      <c r="U42" s="23"/>
      <c r="V42" s="17"/>
      <c r="W42" s="21"/>
      <c r="X42" s="18"/>
      <c r="Y42" s="18"/>
      <c r="Z42" s="24" t="str">
        <f aca="false">IF(I42="","",IFERROR(VLOOKUP(I42,Rules!$A$21:$B$30,2,FALSE()),""))</f>
        <v/>
      </c>
    </row>
    <row r="43" customFormat="false" ht="15" hidden="false" customHeight="false" outlineLevel="0" collapsed="false">
      <c r="A43" s="17" t="s">
        <v>141</v>
      </c>
      <c r="B43" s="17"/>
      <c r="C43" s="18"/>
      <c r="D43" s="18"/>
      <c r="E43" s="17"/>
      <c r="F43" s="18"/>
      <c r="G43" s="19"/>
      <c r="H43" s="20" t="str">
        <f aca="false">IF(AND(G43&lt;&gt;"",I43="Contacted"),G43+Rules!$B$17,"")</f>
        <v/>
      </c>
      <c r="I43" s="17"/>
      <c r="J43" s="21"/>
      <c r="K43" s="17"/>
      <c r="L43" s="18"/>
      <c r="M43" s="17"/>
      <c r="N43" s="17"/>
      <c r="O43" s="22" t="str">
        <f aca="false">IF(COUNTA(J43,K43,N43)=0,"",IF(COUNTA(J43,K43,N43)&lt;3,"Incomplete",IF(OR(K43="No",N43="No",J43&lt;Rules!$B$7,J43&gt;Rules!$B$8),"Not a fit",IF(AND(J43&gt;=Rules!$B$5,J43&lt;=Rules!$B$6,N43="Yes"),"Qualified","Maybe"))))</f>
        <v/>
      </c>
      <c r="P43" s="19"/>
      <c r="Q43" s="17"/>
      <c r="R43" s="17"/>
      <c r="S43" s="17"/>
      <c r="T43" s="17"/>
      <c r="U43" s="23"/>
      <c r="V43" s="17"/>
      <c r="W43" s="21"/>
      <c r="X43" s="18"/>
      <c r="Y43" s="18"/>
      <c r="Z43" s="24" t="str">
        <f aca="false">IF(I43="","",IFERROR(VLOOKUP(I43,Rules!$A$21:$B$30,2,FALSE()),""))</f>
        <v/>
      </c>
    </row>
    <row r="44" customFormat="false" ht="15" hidden="false" customHeight="false" outlineLevel="0" collapsed="false">
      <c r="A44" s="17" t="s">
        <v>142</v>
      </c>
      <c r="B44" s="17"/>
      <c r="C44" s="18"/>
      <c r="D44" s="18"/>
      <c r="E44" s="17"/>
      <c r="F44" s="18"/>
      <c r="G44" s="19"/>
      <c r="H44" s="20" t="str">
        <f aca="false">IF(AND(G44&lt;&gt;"",I44="Contacted"),G44+Rules!$B$17,"")</f>
        <v/>
      </c>
      <c r="I44" s="17"/>
      <c r="J44" s="21"/>
      <c r="K44" s="17"/>
      <c r="L44" s="18"/>
      <c r="M44" s="17"/>
      <c r="N44" s="17"/>
      <c r="O44" s="22" t="str">
        <f aca="false">IF(COUNTA(J44,K44,N44)=0,"",IF(COUNTA(J44,K44,N44)&lt;3,"Incomplete",IF(OR(K44="No",N44="No",J44&lt;Rules!$B$7,J44&gt;Rules!$B$8),"Not a fit",IF(AND(J44&gt;=Rules!$B$5,J44&lt;=Rules!$B$6,N44="Yes"),"Qualified","Maybe"))))</f>
        <v/>
      </c>
      <c r="P44" s="19"/>
      <c r="Q44" s="17"/>
      <c r="R44" s="17"/>
      <c r="S44" s="17"/>
      <c r="T44" s="17"/>
      <c r="U44" s="23"/>
      <c r="V44" s="17"/>
      <c r="W44" s="21"/>
      <c r="X44" s="18"/>
      <c r="Y44" s="18"/>
      <c r="Z44" s="24" t="str">
        <f aca="false">IF(I44="","",IFERROR(VLOOKUP(I44,Rules!$A$21:$B$30,2,FALSE()),""))</f>
        <v/>
      </c>
    </row>
    <row r="45" customFormat="false" ht="15" hidden="false" customHeight="false" outlineLevel="0" collapsed="false">
      <c r="A45" s="17" t="s">
        <v>143</v>
      </c>
      <c r="B45" s="17"/>
      <c r="C45" s="18"/>
      <c r="D45" s="18"/>
      <c r="E45" s="17"/>
      <c r="F45" s="18"/>
      <c r="G45" s="19"/>
      <c r="H45" s="20" t="str">
        <f aca="false">IF(AND(G45&lt;&gt;"",I45="Contacted"),G45+Rules!$B$17,"")</f>
        <v/>
      </c>
      <c r="I45" s="17"/>
      <c r="J45" s="21"/>
      <c r="K45" s="17"/>
      <c r="L45" s="18"/>
      <c r="M45" s="17"/>
      <c r="N45" s="17"/>
      <c r="O45" s="22" t="str">
        <f aca="false">IF(COUNTA(J45,K45,N45)=0,"",IF(COUNTA(J45,K45,N45)&lt;3,"Incomplete",IF(OR(K45="No",N45="No",J45&lt;Rules!$B$7,J45&gt;Rules!$B$8),"Not a fit",IF(AND(J45&gt;=Rules!$B$5,J45&lt;=Rules!$B$6,N45="Yes"),"Qualified","Maybe"))))</f>
        <v/>
      </c>
      <c r="P45" s="19"/>
      <c r="Q45" s="17"/>
      <c r="R45" s="17"/>
      <c r="S45" s="17"/>
      <c r="T45" s="17"/>
      <c r="U45" s="23"/>
      <c r="V45" s="17"/>
      <c r="W45" s="21"/>
      <c r="X45" s="18"/>
      <c r="Y45" s="18"/>
      <c r="Z45" s="24" t="str">
        <f aca="false">IF(I45="","",IFERROR(VLOOKUP(I45,Rules!$A$21:$B$30,2,FALSE()),""))</f>
        <v/>
      </c>
    </row>
    <row r="46" customFormat="false" ht="15" hidden="false" customHeight="false" outlineLevel="0" collapsed="false">
      <c r="A46" s="17" t="s">
        <v>144</v>
      </c>
      <c r="B46" s="17"/>
      <c r="C46" s="18"/>
      <c r="D46" s="18"/>
      <c r="E46" s="17"/>
      <c r="F46" s="18"/>
      <c r="G46" s="19"/>
      <c r="H46" s="20" t="str">
        <f aca="false">IF(AND(G46&lt;&gt;"",I46="Contacted"),G46+Rules!$B$17,"")</f>
        <v/>
      </c>
      <c r="I46" s="17"/>
      <c r="J46" s="21"/>
      <c r="K46" s="17"/>
      <c r="L46" s="18"/>
      <c r="M46" s="17"/>
      <c r="N46" s="17"/>
      <c r="O46" s="22" t="str">
        <f aca="false">IF(COUNTA(J46,K46,N46)=0,"",IF(COUNTA(J46,K46,N46)&lt;3,"Incomplete",IF(OR(K46="No",N46="No",J46&lt;Rules!$B$7,J46&gt;Rules!$B$8),"Not a fit",IF(AND(J46&gt;=Rules!$B$5,J46&lt;=Rules!$B$6,N46="Yes"),"Qualified","Maybe"))))</f>
        <v/>
      </c>
      <c r="P46" s="19"/>
      <c r="Q46" s="17"/>
      <c r="R46" s="17"/>
      <c r="S46" s="17"/>
      <c r="T46" s="17"/>
      <c r="U46" s="23"/>
      <c r="V46" s="17"/>
      <c r="W46" s="21"/>
      <c r="X46" s="18"/>
      <c r="Y46" s="18"/>
      <c r="Z46" s="24" t="str">
        <f aca="false">IF(I46="","",IFERROR(VLOOKUP(I46,Rules!$A$21:$B$30,2,FALSE()),""))</f>
        <v/>
      </c>
    </row>
    <row r="47" customFormat="false" ht="15" hidden="false" customHeight="false" outlineLevel="0" collapsed="false">
      <c r="A47" s="17" t="s">
        <v>145</v>
      </c>
      <c r="B47" s="17"/>
      <c r="C47" s="18"/>
      <c r="D47" s="18"/>
      <c r="E47" s="17"/>
      <c r="F47" s="18"/>
      <c r="G47" s="19"/>
      <c r="H47" s="20" t="str">
        <f aca="false">IF(AND(G47&lt;&gt;"",I47="Contacted"),G47+Rules!$B$17,"")</f>
        <v/>
      </c>
      <c r="I47" s="17"/>
      <c r="J47" s="21"/>
      <c r="K47" s="17"/>
      <c r="L47" s="18"/>
      <c r="M47" s="17"/>
      <c r="N47" s="17"/>
      <c r="O47" s="22" t="str">
        <f aca="false">IF(COUNTA(J47,K47,N47)=0,"",IF(COUNTA(J47,K47,N47)&lt;3,"Incomplete",IF(OR(K47="No",N47="No",J47&lt;Rules!$B$7,J47&gt;Rules!$B$8),"Not a fit",IF(AND(J47&gt;=Rules!$B$5,J47&lt;=Rules!$B$6,N47="Yes"),"Qualified","Maybe"))))</f>
        <v/>
      </c>
      <c r="P47" s="19"/>
      <c r="Q47" s="17"/>
      <c r="R47" s="17"/>
      <c r="S47" s="17"/>
      <c r="T47" s="17"/>
      <c r="U47" s="23"/>
      <c r="V47" s="17"/>
      <c r="W47" s="21"/>
      <c r="X47" s="18"/>
      <c r="Y47" s="18"/>
      <c r="Z47" s="24" t="str">
        <f aca="false">IF(I47="","",IFERROR(VLOOKUP(I47,Rules!$A$21:$B$30,2,FALSE()),""))</f>
        <v/>
      </c>
    </row>
    <row r="48" customFormat="false" ht="15" hidden="false" customHeight="false" outlineLevel="0" collapsed="false">
      <c r="A48" s="17" t="s">
        <v>146</v>
      </c>
      <c r="B48" s="17"/>
      <c r="C48" s="18"/>
      <c r="D48" s="18"/>
      <c r="E48" s="17"/>
      <c r="F48" s="18"/>
      <c r="G48" s="19"/>
      <c r="H48" s="20" t="str">
        <f aca="false">IF(AND(G48&lt;&gt;"",I48="Contacted"),G48+Rules!$B$17,"")</f>
        <v/>
      </c>
      <c r="I48" s="17"/>
      <c r="J48" s="21"/>
      <c r="K48" s="17"/>
      <c r="L48" s="18"/>
      <c r="M48" s="17"/>
      <c r="N48" s="17"/>
      <c r="O48" s="22" t="str">
        <f aca="false">IF(COUNTA(J48,K48,N48)=0,"",IF(COUNTA(J48,K48,N48)&lt;3,"Incomplete",IF(OR(K48="No",N48="No",J48&lt;Rules!$B$7,J48&gt;Rules!$B$8),"Not a fit",IF(AND(J48&gt;=Rules!$B$5,J48&lt;=Rules!$B$6,N48="Yes"),"Qualified","Maybe"))))</f>
        <v/>
      </c>
      <c r="P48" s="19"/>
      <c r="Q48" s="17"/>
      <c r="R48" s="17"/>
      <c r="S48" s="17"/>
      <c r="T48" s="17"/>
      <c r="U48" s="23"/>
      <c r="V48" s="17"/>
      <c r="W48" s="21"/>
      <c r="X48" s="18"/>
      <c r="Y48" s="18"/>
      <c r="Z48" s="24" t="str">
        <f aca="false">IF(I48="","",IFERROR(VLOOKUP(I48,Rules!$A$21:$B$30,2,FALSE()),""))</f>
        <v/>
      </c>
    </row>
    <row r="49" customFormat="false" ht="15" hidden="false" customHeight="false" outlineLevel="0" collapsed="false">
      <c r="A49" s="17" t="s">
        <v>147</v>
      </c>
      <c r="B49" s="17"/>
      <c r="C49" s="18"/>
      <c r="D49" s="18"/>
      <c r="E49" s="17"/>
      <c r="F49" s="18"/>
      <c r="G49" s="19"/>
      <c r="H49" s="20" t="str">
        <f aca="false">IF(AND(G49&lt;&gt;"",I49="Contacted"),G49+Rules!$B$17,"")</f>
        <v/>
      </c>
      <c r="I49" s="17"/>
      <c r="J49" s="21"/>
      <c r="K49" s="17"/>
      <c r="L49" s="18"/>
      <c r="M49" s="17"/>
      <c r="N49" s="17"/>
      <c r="O49" s="22" t="str">
        <f aca="false">IF(COUNTA(J49,K49,N49)=0,"",IF(COUNTA(J49,K49,N49)&lt;3,"Incomplete",IF(OR(K49="No",N49="No",J49&lt;Rules!$B$7,J49&gt;Rules!$B$8),"Not a fit",IF(AND(J49&gt;=Rules!$B$5,J49&lt;=Rules!$B$6,N49="Yes"),"Qualified","Maybe"))))</f>
        <v/>
      </c>
      <c r="P49" s="19"/>
      <c r="Q49" s="17"/>
      <c r="R49" s="17"/>
      <c r="S49" s="17"/>
      <c r="T49" s="17"/>
      <c r="U49" s="23"/>
      <c r="V49" s="17"/>
      <c r="W49" s="21"/>
      <c r="X49" s="18"/>
      <c r="Y49" s="18"/>
      <c r="Z49" s="24" t="str">
        <f aca="false">IF(I49="","",IFERROR(VLOOKUP(I49,Rules!$A$21:$B$30,2,FALSE()),""))</f>
        <v/>
      </c>
    </row>
    <row r="50" customFormat="false" ht="15" hidden="false" customHeight="false" outlineLevel="0" collapsed="false">
      <c r="A50" s="17" t="s">
        <v>148</v>
      </c>
      <c r="B50" s="17"/>
      <c r="C50" s="18"/>
      <c r="D50" s="18"/>
      <c r="E50" s="17"/>
      <c r="F50" s="18"/>
      <c r="G50" s="19"/>
      <c r="H50" s="20" t="str">
        <f aca="false">IF(AND(G50&lt;&gt;"",I50="Contacted"),G50+Rules!$B$17,"")</f>
        <v/>
      </c>
      <c r="I50" s="17"/>
      <c r="J50" s="21"/>
      <c r="K50" s="17"/>
      <c r="L50" s="18"/>
      <c r="M50" s="17"/>
      <c r="N50" s="17"/>
      <c r="O50" s="22" t="str">
        <f aca="false">IF(COUNTA(J50,K50,N50)=0,"",IF(COUNTA(J50,K50,N50)&lt;3,"Incomplete",IF(OR(K50="No",N50="No",J50&lt;Rules!$B$7,J50&gt;Rules!$B$8),"Not a fit",IF(AND(J50&gt;=Rules!$B$5,J50&lt;=Rules!$B$6,N50="Yes"),"Qualified","Maybe"))))</f>
        <v/>
      </c>
      <c r="P50" s="19"/>
      <c r="Q50" s="17"/>
      <c r="R50" s="17"/>
      <c r="S50" s="17"/>
      <c r="T50" s="17"/>
      <c r="U50" s="23"/>
      <c r="V50" s="17"/>
      <c r="W50" s="21"/>
      <c r="X50" s="18"/>
      <c r="Y50" s="18"/>
      <c r="Z50" s="24" t="str">
        <f aca="false">IF(I50="","",IFERROR(VLOOKUP(I50,Rules!$A$21:$B$30,2,FALSE()),""))</f>
        <v/>
      </c>
    </row>
    <row r="51" customFormat="false" ht="15" hidden="false" customHeight="false" outlineLevel="0" collapsed="false">
      <c r="A51" s="17" t="s">
        <v>149</v>
      </c>
      <c r="B51" s="17"/>
      <c r="C51" s="18"/>
      <c r="D51" s="18"/>
      <c r="E51" s="17"/>
      <c r="F51" s="18"/>
      <c r="G51" s="19"/>
      <c r="H51" s="20" t="str">
        <f aca="false">IF(AND(G51&lt;&gt;"",I51="Contacted"),G51+Rules!$B$17,"")</f>
        <v/>
      </c>
      <c r="I51" s="17"/>
      <c r="J51" s="21"/>
      <c r="K51" s="17"/>
      <c r="L51" s="18"/>
      <c r="M51" s="17"/>
      <c r="N51" s="17"/>
      <c r="O51" s="22" t="str">
        <f aca="false">IF(COUNTA(J51,K51,N51)=0,"",IF(COUNTA(J51,K51,N51)&lt;3,"Incomplete",IF(OR(K51="No",N51="No",J51&lt;Rules!$B$7,J51&gt;Rules!$B$8),"Not a fit",IF(AND(J51&gt;=Rules!$B$5,J51&lt;=Rules!$B$6,N51="Yes"),"Qualified","Maybe"))))</f>
        <v/>
      </c>
      <c r="P51" s="19"/>
      <c r="Q51" s="17"/>
      <c r="R51" s="17"/>
      <c r="S51" s="17"/>
      <c r="T51" s="17"/>
      <c r="U51" s="23"/>
      <c r="V51" s="17"/>
      <c r="W51" s="21"/>
      <c r="X51" s="18"/>
      <c r="Y51" s="18"/>
      <c r="Z51" s="24" t="str">
        <f aca="false">IF(I51="","",IFERROR(VLOOKUP(I51,Rules!$A$21:$B$30,2,FALSE()),""))</f>
        <v/>
      </c>
    </row>
    <row r="52" customFormat="false" ht="15" hidden="false" customHeight="false" outlineLevel="0" collapsed="false">
      <c r="A52" s="17" t="s">
        <v>150</v>
      </c>
      <c r="B52" s="17"/>
      <c r="C52" s="18"/>
      <c r="D52" s="18"/>
      <c r="E52" s="17"/>
      <c r="F52" s="18"/>
      <c r="G52" s="19"/>
      <c r="H52" s="20" t="str">
        <f aca="false">IF(AND(G52&lt;&gt;"",I52="Contacted"),G52+Rules!$B$17,"")</f>
        <v/>
      </c>
      <c r="I52" s="17"/>
      <c r="J52" s="21"/>
      <c r="K52" s="17"/>
      <c r="L52" s="18"/>
      <c r="M52" s="17"/>
      <c r="N52" s="17"/>
      <c r="O52" s="22" t="str">
        <f aca="false">IF(COUNTA(J52,K52,N52)=0,"",IF(COUNTA(J52,K52,N52)&lt;3,"Incomplete",IF(OR(K52="No",N52="No",J52&lt;Rules!$B$7,J52&gt;Rules!$B$8),"Not a fit",IF(AND(J52&gt;=Rules!$B$5,J52&lt;=Rules!$B$6,N52="Yes"),"Qualified","Maybe"))))</f>
        <v/>
      </c>
      <c r="P52" s="19"/>
      <c r="Q52" s="17"/>
      <c r="R52" s="17"/>
      <c r="S52" s="17"/>
      <c r="T52" s="17"/>
      <c r="U52" s="23"/>
      <c r="V52" s="17"/>
      <c r="W52" s="21"/>
      <c r="X52" s="18"/>
      <c r="Y52" s="18"/>
      <c r="Z52" s="24" t="str">
        <f aca="false">IF(I52="","",IFERROR(VLOOKUP(I52,Rules!$A$21:$B$30,2,FALSE()),""))</f>
        <v/>
      </c>
    </row>
    <row r="53" customFormat="false" ht="15" hidden="false" customHeight="false" outlineLevel="0" collapsed="false">
      <c r="A53" s="17" t="s">
        <v>151</v>
      </c>
      <c r="B53" s="17"/>
      <c r="C53" s="18"/>
      <c r="D53" s="18"/>
      <c r="E53" s="17"/>
      <c r="F53" s="18"/>
      <c r="G53" s="19"/>
      <c r="H53" s="20" t="str">
        <f aca="false">IF(AND(G53&lt;&gt;"",I53="Contacted"),G53+Rules!$B$17,"")</f>
        <v/>
      </c>
      <c r="I53" s="17"/>
      <c r="J53" s="21"/>
      <c r="K53" s="17"/>
      <c r="L53" s="18"/>
      <c r="M53" s="17"/>
      <c r="N53" s="17"/>
      <c r="O53" s="22" t="str">
        <f aca="false">IF(COUNTA(J53,K53,N53)=0,"",IF(COUNTA(J53,K53,N53)&lt;3,"Incomplete",IF(OR(K53="No",N53="No",J53&lt;Rules!$B$7,J53&gt;Rules!$B$8),"Not a fit",IF(AND(J53&gt;=Rules!$B$5,J53&lt;=Rules!$B$6,N53="Yes"),"Qualified","Maybe"))))</f>
        <v/>
      </c>
      <c r="P53" s="19"/>
      <c r="Q53" s="17"/>
      <c r="R53" s="17"/>
      <c r="S53" s="17"/>
      <c r="T53" s="17"/>
      <c r="U53" s="23"/>
      <c r="V53" s="17"/>
      <c r="W53" s="21"/>
      <c r="X53" s="18"/>
      <c r="Y53" s="18"/>
      <c r="Z53" s="24" t="str">
        <f aca="false">IF(I53="","",IFERROR(VLOOKUP(I53,Rules!$A$21:$B$30,2,FALSE()),""))</f>
        <v/>
      </c>
    </row>
    <row r="54" customFormat="false" ht="15" hidden="false" customHeight="false" outlineLevel="0" collapsed="false">
      <c r="A54" s="17" t="s">
        <v>152</v>
      </c>
      <c r="B54" s="17"/>
      <c r="C54" s="18"/>
      <c r="D54" s="18"/>
      <c r="E54" s="17"/>
      <c r="F54" s="18"/>
      <c r="G54" s="19"/>
      <c r="H54" s="20" t="str">
        <f aca="false">IF(AND(G54&lt;&gt;"",I54="Contacted"),G54+Rules!$B$17,"")</f>
        <v/>
      </c>
      <c r="I54" s="17"/>
      <c r="J54" s="21"/>
      <c r="K54" s="17"/>
      <c r="L54" s="18"/>
      <c r="M54" s="17"/>
      <c r="N54" s="17"/>
      <c r="O54" s="22" t="str">
        <f aca="false">IF(COUNTA(J54,K54,N54)=0,"",IF(COUNTA(J54,K54,N54)&lt;3,"Incomplete",IF(OR(K54="No",N54="No",J54&lt;Rules!$B$7,J54&gt;Rules!$B$8),"Not a fit",IF(AND(J54&gt;=Rules!$B$5,J54&lt;=Rules!$B$6,N54="Yes"),"Qualified","Maybe"))))</f>
        <v/>
      </c>
      <c r="P54" s="19"/>
      <c r="Q54" s="17"/>
      <c r="R54" s="17"/>
      <c r="S54" s="17"/>
      <c r="T54" s="17"/>
      <c r="U54" s="23"/>
      <c r="V54" s="17"/>
      <c r="W54" s="21"/>
      <c r="X54" s="18"/>
      <c r="Y54" s="18"/>
      <c r="Z54" s="24" t="str">
        <f aca="false">IF(I54="","",IFERROR(VLOOKUP(I54,Rules!$A$21:$B$30,2,FALSE()),""))</f>
        <v/>
      </c>
    </row>
    <row r="55" customFormat="false" ht="15" hidden="false" customHeight="false" outlineLevel="0" collapsed="false">
      <c r="A55" s="17" t="s">
        <v>153</v>
      </c>
      <c r="B55" s="17"/>
      <c r="C55" s="18"/>
      <c r="D55" s="18"/>
      <c r="E55" s="17"/>
      <c r="F55" s="18"/>
      <c r="G55" s="19"/>
      <c r="H55" s="20" t="str">
        <f aca="false">IF(AND(G55&lt;&gt;"",I55="Contacted"),G55+Rules!$B$17,"")</f>
        <v/>
      </c>
      <c r="I55" s="17"/>
      <c r="J55" s="21"/>
      <c r="K55" s="17"/>
      <c r="L55" s="18"/>
      <c r="M55" s="17"/>
      <c r="N55" s="17"/>
      <c r="O55" s="22" t="str">
        <f aca="false">IF(COUNTA(J55,K55,N55)=0,"",IF(COUNTA(J55,K55,N55)&lt;3,"Incomplete",IF(OR(K55="No",N55="No",J55&lt;Rules!$B$7,J55&gt;Rules!$B$8),"Not a fit",IF(AND(J55&gt;=Rules!$B$5,J55&lt;=Rules!$B$6,N55="Yes"),"Qualified","Maybe"))))</f>
        <v/>
      </c>
      <c r="P55" s="19"/>
      <c r="Q55" s="17"/>
      <c r="R55" s="17"/>
      <c r="S55" s="17"/>
      <c r="T55" s="17"/>
      <c r="U55" s="23"/>
      <c r="V55" s="17"/>
      <c r="W55" s="21"/>
      <c r="X55" s="18"/>
      <c r="Y55" s="18"/>
      <c r="Z55" s="24" t="str">
        <f aca="false">IF(I55="","",IFERROR(VLOOKUP(I55,Rules!$A$21:$B$30,2,FALSE()),""))</f>
        <v/>
      </c>
    </row>
    <row r="56" customFormat="false" ht="15" hidden="false" customHeight="false" outlineLevel="0" collapsed="false">
      <c r="A56" s="17" t="s">
        <v>154</v>
      </c>
      <c r="B56" s="17"/>
      <c r="C56" s="18"/>
      <c r="D56" s="18"/>
      <c r="E56" s="17"/>
      <c r="F56" s="18"/>
      <c r="G56" s="19"/>
      <c r="H56" s="20" t="str">
        <f aca="false">IF(AND(G56&lt;&gt;"",I56="Contacted"),G56+Rules!$B$17,"")</f>
        <v/>
      </c>
      <c r="I56" s="17"/>
      <c r="J56" s="21"/>
      <c r="K56" s="17"/>
      <c r="L56" s="18"/>
      <c r="M56" s="17"/>
      <c r="N56" s="17"/>
      <c r="O56" s="22" t="str">
        <f aca="false">IF(COUNTA(J56,K56,N56)=0,"",IF(COUNTA(J56,K56,N56)&lt;3,"Incomplete",IF(OR(K56="No",N56="No",J56&lt;Rules!$B$7,J56&gt;Rules!$B$8),"Not a fit",IF(AND(J56&gt;=Rules!$B$5,J56&lt;=Rules!$B$6,N56="Yes"),"Qualified","Maybe"))))</f>
        <v/>
      </c>
      <c r="P56" s="19"/>
      <c r="Q56" s="17"/>
      <c r="R56" s="17"/>
      <c r="S56" s="17"/>
      <c r="T56" s="17"/>
      <c r="U56" s="23"/>
      <c r="V56" s="17"/>
      <c r="W56" s="21"/>
      <c r="X56" s="18"/>
      <c r="Y56" s="18"/>
      <c r="Z56" s="24" t="str">
        <f aca="false">IF(I56="","",IFERROR(VLOOKUP(I56,Rules!$A$21:$B$30,2,FALSE()),""))</f>
        <v/>
      </c>
    </row>
    <row r="57" customFormat="false" ht="15" hidden="false" customHeight="false" outlineLevel="0" collapsed="false">
      <c r="A57" s="17" t="s">
        <v>155</v>
      </c>
      <c r="B57" s="17"/>
      <c r="C57" s="18"/>
      <c r="D57" s="18"/>
      <c r="E57" s="17"/>
      <c r="F57" s="18"/>
      <c r="G57" s="19"/>
      <c r="H57" s="20" t="str">
        <f aca="false">IF(AND(G57&lt;&gt;"",I57="Contacted"),G57+Rules!$B$17,"")</f>
        <v/>
      </c>
      <c r="I57" s="17"/>
      <c r="J57" s="21"/>
      <c r="K57" s="17"/>
      <c r="L57" s="18"/>
      <c r="M57" s="17"/>
      <c r="N57" s="17"/>
      <c r="O57" s="22" t="str">
        <f aca="false">IF(COUNTA(J57,K57,N57)=0,"",IF(COUNTA(J57,K57,N57)&lt;3,"Incomplete",IF(OR(K57="No",N57="No",J57&lt;Rules!$B$7,J57&gt;Rules!$B$8),"Not a fit",IF(AND(J57&gt;=Rules!$B$5,J57&lt;=Rules!$B$6,N57="Yes"),"Qualified","Maybe"))))</f>
        <v/>
      </c>
      <c r="P57" s="19"/>
      <c r="Q57" s="17"/>
      <c r="R57" s="17"/>
      <c r="S57" s="17"/>
      <c r="T57" s="17"/>
      <c r="U57" s="23"/>
      <c r="V57" s="17"/>
      <c r="W57" s="21"/>
      <c r="X57" s="18"/>
      <c r="Y57" s="18"/>
      <c r="Z57" s="24" t="str">
        <f aca="false">IF(I57="","",IFERROR(VLOOKUP(I57,Rules!$A$21:$B$30,2,FALSE()),""))</f>
        <v/>
      </c>
    </row>
    <row r="58" customFormat="false" ht="15" hidden="false" customHeight="false" outlineLevel="0" collapsed="false">
      <c r="A58" s="17" t="s">
        <v>156</v>
      </c>
      <c r="B58" s="17"/>
      <c r="C58" s="18"/>
      <c r="D58" s="18"/>
      <c r="E58" s="17"/>
      <c r="F58" s="18"/>
      <c r="G58" s="19"/>
      <c r="H58" s="20" t="str">
        <f aca="false">IF(AND(G58&lt;&gt;"",I58="Contacted"),G58+Rules!$B$17,"")</f>
        <v/>
      </c>
      <c r="I58" s="17"/>
      <c r="J58" s="21"/>
      <c r="K58" s="17"/>
      <c r="L58" s="18"/>
      <c r="M58" s="17"/>
      <c r="N58" s="17"/>
      <c r="O58" s="22" t="str">
        <f aca="false">IF(COUNTA(J58,K58,N58)=0,"",IF(COUNTA(J58,K58,N58)&lt;3,"Incomplete",IF(OR(K58="No",N58="No",J58&lt;Rules!$B$7,J58&gt;Rules!$B$8),"Not a fit",IF(AND(J58&gt;=Rules!$B$5,J58&lt;=Rules!$B$6,N58="Yes"),"Qualified","Maybe"))))</f>
        <v/>
      </c>
      <c r="P58" s="19"/>
      <c r="Q58" s="17"/>
      <c r="R58" s="17"/>
      <c r="S58" s="17"/>
      <c r="T58" s="17"/>
      <c r="U58" s="23"/>
      <c r="V58" s="17"/>
      <c r="W58" s="21"/>
      <c r="X58" s="18"/>
      <c r="Y58" s="18"/>
      <c r="Z58" s="24" t="str">
        <f aca="false">IF(I58="","",IFERROR(VLOOKUP(I58,Rules!$A$21:$B$30,2,FALSE()),""))</f>
        <v/>
      </c>
    </row>
    <row r="59" customFormat="false" ht="15" hidden="false" customHeight="false" outlineLevel="0" collapsed="false">
      <c r="A59" s="17" t="s">
        <v>157</v>
      </c>
      <c r="B59" s="17"/>
      <c r="C59" s="18"/>
      <c r="D59" s="18"/>
      <c r="E59" s="17"/>
      <c r="F59" s="18"/>
      <c r="G59" s="19"/>
      <c r="H59" s="20" t="str">
        <f aca="false">IF(AND(G59&lt;&gt;"",I59="Contacted"),G59+Rules!$B$17,"")</f>
        <v/>
      </c>
      <c r="I59" s="17"/>
      <c r="J59" s="21"/>
      <c r="K59" s="17"/>
      <c r="L59" s="18"/>
      <c r="M59" s="17"/>
      <c r="N59" s="17"/>
      <c r="O59" s="22" t="str">
        <f aca="false">IF(COUNTA(J59,K59,N59)=0,"",IF(COUNTA(J59,K59,N59)&lt;3,"Incomplete",IF(OR(K59="No",N59="No",J59&lt;Rules!$B$7,J59&gt;Rules!$B$8),"Not a fit",IF(AND(J59&gt;=Rules!$B$5,J59&lt;=Rules!$B$6,N59="Yes"),"Qualified","Maybe"))))</f>
        <v/>
      </c>
      <c r="P59" s="19"/>
      <c r="Q59" s="17"/>
      <c r="R59" s="17"/>
      <c r="S59" s="17"/>
      <c r="T59" s="17"/>
      <c r="U59" s="23"/>
      <c r="V59" s="17"/>
      <c r="W59" s="21"/>
      <c r="X59" s="18"/>
      <c r="Y59" s="18"/>
      <c r="Z59" s="24" t="str">
        <f aca="false">IF(I59="","",IFERROR(VLOOKUP(I59,Rules!$A$21:$B$30,2,FALSE()),""))</f>
        <v/>
      </c>
    </row>
    <row r="60" customFormat="false" ht="15" hidden="false" customHeight="false" outlineLevel="0" collapsed="false">
      <c r="A60" s="17" t="s">
        <v>158</v>
      </c>
      <c r="B60" s="17"/>
      <c r="C60" s="18"/>
      <c r="D60" s="18"/>
      <c r="E60" s="17"/>
      <c r="F60" s="18"/>
      <c r="G60" s="19"/>
      <c r="H60" s="20" t="str">
        <f aca="false">IF(AND(G60&lt;&gt;"",I60="Contacted"),G60+Rules!$B$17,"")</f>
        <v/>
      </c>
      <c r="I60" s="17"/>
      <c r="J60" s="21"/>
      <c r="K60" s="17"/>
      <c r="L60" s="18"/>
      <c r="M60" s="17"/>
      <c r="N60" s="17"/>
      <c r="O60" s="22" t="str">
        <f aca="false">IF(COUNTA(J60,K60,N60)=0,"",IF(COUNTA(J60,K60,N60)&lt;3,"Incomplete",IF(OR(K60="No",N60="No",J60&lt;Rules!$B$7,J60&gt;Rules!$B$8),"Not a fit",IF(AND(J60&gt;=Rules!$B$5,J60&lt;=Rules!$B$6,N60="Yes"),"Qualified","Maybe"))))</f>
        <v/>
      </c>
      <c r="P60" s="19"/>
      <c r="Q60" s="17"/>
      <c r="R60" s="17"/>
      <c r="S60" s="17"/>
      <c r="T60" s="17"/>
      <c r="U60" s="23"/>
      <c r="V60" s="17"/>
      <c r="W60" s="21"/>
      <c r="X60" s="18"/>
      <c r="Y60" s="18"/>
      <c r="Z60" s="24" t="str">
        <f aca="false">IF(I60="","",IFERROR(VLOOKUP(I60,Rules!$A$21:$B$30,2,FALSE()),""))</f>
        <v/>
      </c>
    </row>
    <row r="61" customFormat="false" ht="15" hidden="false" customHeight="false" outlineLevel="0" collapsed="false">
      <c r="A61" s="17" t="s">
        <v>159</v>
      </c>
      <c r="B61" s="17"/>
      <c r="C61" s="18"/>
      <c r="D61" s="18"/>
      <c r="E61" s="17"/>
      <c r="F61" s="18"/>
      <c r="G61" s="19"/>
      <c r="H61" s="20" t="str">
        <f aca="false">IF(AND(G61&lt;&gt;"",I61="Contacted"),G61+Rules!$B$17,"")</f>
        <v/>
      </c>
      <c r="I61" s="17"/>
      <c r="J61" s="21"/>
      <c r="K61" s="17"/>
      <c r="L61" s="18"/>
      <c r="M61" s="17"/>
      <c r="N61" s="17"/>
      <c r="O61" s="22" t="str">
        <f aca="false">IF(COUNTA(J61,K61,N61)=0,"",IF(COUNTA(J61,K61,N61)&lt;3,"Incomplete",IF(OR(K61="No",N61="No",J61&lt;Rules!$B$7,J61&gt;Rules!$B$8),"Not a fit",IF(AND(J61&gt;=Rules!$B$5,J61&lt;=Rules!$B$6,N61="Yes"),"Qualified","Maybe"))))</f>
        <v/>
      </c>
      <c r="P61" s="19"/>
      <c r="Q61" s="17"/>
      <c r="R61" s="17"/>
      <c r="S61" s="17"/>
      <c r="T61" s="17"/>
      <c r="U61" s="23"/>
      <c r="V61" s="17"/>
      <c r="W61" s="21"/>
      <c r="X61" s="18"/>
      <c r="Y61" s="18"/>
      <c r="Z61" s="24" t="str">
        <f aca="false">IF(I61="","",IFERROR(VLOOKUP(I61,Rules!$A$21:$B$30,2,FALSE()),""))</f>
        <v/>
      </c>
    </row>
    <row r="62" customFormat="false" ht="15" hidden="false" customHeight="false" outlineLevel="0" collapsed="false">
      <c r="A62" s="17" t="s">
        <v>160</v>
      </c>
      <c r="B62" s="17"/>
      <c r="C62" s="18"/>
      <c r="D62" s="18"/>
      <c r="E62" s="17"/>
      <c r="F62" s="18"/>
      <c r="G62" s="19"/>
      <c r="H62" s="20" t="str">
        <f aca="false">IF(AND(G62&lt;&gt;"",I62="Contacted"),G62+Rules!$B$17,"")</f>
        <v/>
      </c>
      <c r="I62" s="17"/>
      <c r="J62" s="21"/>
      <c r="K62" s="17"/>
      <c r="L62" s="18"/>
      <c r="M62" s="17"/>
      <c r="N62" s="17"/>
      <c r="O62" s="22" t="str">
        <f aca="false">IF(COUNTA(J62,K62,N62)=0,"",IF(COUNTA(J62,K62,N62)&lt;3,"Incomplete",IF(OR(K62="No",N62="No",J62&lt;Rules!$B$7,J62&gt;Rules!$B$8),"Not a fit",IF(AND(J62&gt;=Rules!$B$5,J62&lt;=Rules!$B$6,N62="Yes"),"Qualified","Maybe"))))</f>
        <v/>
      </c>
      <c r="P62" s="19"/>
      <c r="Q62" s="17"/>
      <c r="R62" s="17"/>
      <c r="S62" s="17"/>
      <c r="T62" s="17"/>
      <c r="U62" s="23"/>
      <c r="V62" s="17"/>
      <c r="W62" s="21"/>
      <c r="X62" s="18"/>
      <c r="Y62" s="18"/>
      <c r="Z62" s="24" t="str">
        <f aca="false">IF(I62="","",IFERROR(VLOOKUP(I62,Rules!$A$21:$B$30,2,FALSE()),""))</f>
        <v/>
      </c>
    </row>
    <row r="63" customFormat="false" ht="15" hidden="false" customHeight="false" outlineLevel="0" collapsed="false">
      <c r="A63" s="17" t="s">
        <v>161</v>
      </c>
      <c r="B63" s="17"/>
      <c r="C63" s="18"/>
      <c r="D63" s="18"/>
      <c r="E63" s="17"/>
      <c r="F63" s="18"/>
      <c r="G63" s="19"/>
      <c r="H63" s="20" t="str">
        <f aca="false">IF(AND(G63&lt;&gt;"",I63="Contacted"),G63+Rules!$B$17,"")</f>
        <v/>
      </c>
      <c r="I63" s="17"/>
      <c r="J63" s="21"/>
      <c r="K63" s="17"/>
      <c r="L63" s="18"/>
      <c r="M63" s="17"/>
      <c r="N63" s="17"/>
      <c r="O63" s="22" t="str">
        <f aca="false">IF(COUNTA(J63,K63,N63)=0,"",IF(COUNTA(J63,K63,N63)&lt;3,"Incomplete",IF(OR(K63="No",N63="No",J63&lt;Rules!$B$7,J63&gt;Rules!$B$8),"Not a fit",IF(AND(J63&gt;=Rules!$B$5,J63&lt;=Rules!$B$6,N63="Yes"),"Qualified","Maybe"))))</f>
        <v/>
      </c>
      <c r="P63" s="19"/>
      <c r="Q63" s="17"/>
      <c r="R63" s="17"/>
      <c r="S63" s="17"/>
      <c r="T63" s="17"/>
      <c r="U63" s="23"/>
      <c r="V63" s="17"/>
      <c r="W63" s="21"/>
      <c r="X63" s="18"/>
      <c r="Y63" s="18"/>
      <c r="Z63" s="24" t="str">
        <f aca="false">IF(I63="","",IFERROR(VLOOKUP(I63,Rules!$A$21:$B$30,2,FALSE()),""))</f>
        <v/>
      </c>
    </row>
    <row r="64" customFormat="false" ht="15" hidden="false" customHeight="false" outlineLevel="0" collapsed="false">
      <c r="A64" s="17" t="s">
        <v>162</v>
      </c>
      <c r="B64" s="17"/>
      <c r="C64" s="18"/>
      <c r="D64" s="18"/>
      <c r="E64" s="17"/>
      <c r="F64" s="18"/>
      <c r="G64" s="19"/>
      <c r="H64" s="20" t="str">
        <f aca="false">IF(AND(G64&lt;&gt;"",I64="Contacted"),G64+Rules!$B$17,"")</f>
        <v/>
      </c>
      <c r="I64" s="17"/>
      <c r="J64" s="21"/>
      <c r="K64" s="17"/>
      <c r="L64" s="18"/>
      <c r="M64" s="17"/>
      <c r="N64" s="17"/>
      <c r="O64" s="22" t="str">
        <f aca="false">IF(COUNTA(J64,K64,N64)=0,"",IF(COUNTA(J64,K64,N64)&lt;3,"Incomplete",IF(OR(K64="No",N64="No",J64&lt;Rules!$B$7,J64&gt;Rules!$B$8),"Not a fit",IF(AND(J64&gt;=Rules!$B$5,J64&lt;=Rules!$B$6,N64="Yes"),"Qualified","Maybe"))))</f>
        <v/>
      </c>
      <c r="P64" s="19"/>
      <c r="Q64" s="17"/>
      <c r="R64" s="17"/>
      <c r="S64" s="17"/>
      <c r="T64" s="17"/>
      <c r="U64" s="23"/>
      <c r="V64" s="17"/>
      <c r="W64" s="21"/>
      <c r="X64" s="18"/>
      <c r="Y64" s="18"/>
      <c r="Z64" s="24" t="str">
        <f aca="false">IF(I64="","",IFERROR(VLOOKUP(I64,Rules!$A$21:$B$30,2,FALSE()),""))</f>
        <v/>
      </c>
    </row>
    <row r="65" customFormat="false" ht="15" hidden="false" customHeight="false" outlineLevel="0" collapsed="false">
      <c r="A65" s="17" t="s">
        <v>163</v>
      </c>
      <c r="B65" s="17"/>
      <c r="C65" s="18"/>
      <c r="D65" s="18"/>
      <c r="E65" s="17"/>
      <c r="F65" s="18"/>
      <c r="G65" s="19"/>
      <c r="H65" s="20" t="str">
        <f aca="false">IF(AND(G65&lt;&gt;"",I65="Contacted"),G65+Rules!$B$17,"")</f>
        <v/>
      </c>
      <c r="I65" s="17"/>
      <c r="J65" s="21"/>
      <c r="K65" s="17"/>
      <c r="L65" s="18"/>
      <c r="M65" s="17"/>
      <c r="N65" s="17"/>
      <c r="O65" s="22" t="str">
        <f aca="false">IF(COUNTA(J65,K65,N65)=0,"",IF(COUNTA(J65,K65,N65)&lt;3,"Incomplete",IF(OR(K65="No",N65="No",J65&lt;Rules!$B$7,J65&gt;Rules!$B$8),"Not a fit",IF(AND(J65&gt;=Rules!$B$5,J65&lt;=Rules!$B$6,N65="Yes"),"Qualified","Maybe"))))</f>
        <v/>
      </c>
      <c r="P65" s="19"/>
      <c r="Q65" s="17"/>
      <c r="R65" s="17"/>
      <c r="S65" s="17"/>
      <c r="T65" s="17"/>
      <c r="U65" s="23"/>
      <c r="V65" s="17"/>
      <c r="W65" s="21"/>
      <c r="X65" s="18"/>
      <c r="Y65" s="18"/>
      <c r="Z65" s="24" t="str">
        <f aca="false">IF(I65="","",IFERROR(VLOOKUP(I65,Rules!$A$21:$B$30,2,FALSE()),""))</f>
        <v/>
      </c>
    </row>
    <row r="66" customFormat="false" ht="15" hidden="false" customHeight="false" outlineLevel="0" collapsed="false">
      <c r="A66" s="17" t="s">
        <v>164</v>
      </c>
      <c r="B66" s="17"/>
      <c r="C66" s="18"/>
      <c r="D66" s="18"/>
      <c r="E66" s="17"/>
      <c r="F66" s="18"/>
      <c r="G66" s="19"/>
      <c r="H66" s="20" t="str">
        <f aca="false">IF(AND(G66&lt;&gt;"",I66="Contacted"),G66+Rules!$B$17,"")</f>
        <v/>
      </c>
      <c r="I66" s="17"/>
      <c r="J66" s="21"/>
      <c r="K66" s="17"/>
      <c r="L66" s="18"/>
      <c r="M66" s="17"/>
      <c r="N66" s="17"/>
      <c r="O66" s="22" t="str">
        <f aca="false">IF(COUNTA(J66,K66,N66)=0,"",IF(COUNTA(J66,K66,N66)&lt;3,"Incomplete",IF(OR(K66="No",N66="No",J66&lt;Rules!$B$7,J66&gt;Rules!$B$8),"Not a fit",IF(AND(J66&gt;=Rules!$B$5,J66&lt;=Rules!$B$6,N66="Yes"),"Qualified","Maybe"))))</f>
        <v/>
      </c>
      <c r="P66" s="19"/>
      <c r="Q66" s="17"/>
      <c r="R66" s="17"/>
      <c r="S66" s="17"/>
      <c r="T66" s="17"/>
      <c r="U66" s="23"/>
      <c r="V66" s="17"/>
      <c r="W66" s="21"/>
      <c r="X66" s="18"/>
      <c r="Y66" s="18"/>
      <c r="Z66" s="24" t="str">
        <f aca="false">IF(I66="","",IFERROR(VLOOKUP(I66,Rules!$A$21:$B$30,2,FALSE()),""))</f>
        <v/>
      </c>
    </row>
    <row r="67" customFormat="false" ht="15" hidden="false" customHeight="false" outlineLevel="0" collapsed="false">
      <c r="A67" s="17" t="s">
        <v>165</v>
      </c>
      <c r="B67" s="17"/>
      <c r="C67" s="18"/>
      <c r="D67" s="18"/>
      <c r="E67" s="17"/>
      <c r="F67" s="18"/>
      <c r="G67" s="19"/>
      <c r="H67" s="20" t="str">
        <f aca="false">IF(AND(G67&lt;&gt;"",I67="Contacted"),G67+Rules!$B$17,"")</f>
        <v/>
      </c>
      <c r="I67" s="17"/>
      <c r="J67" s="21"/>
      <c r="K67" s="17"/>
      <c r="L67" s="18"/>
      <c r="M67" s="17"/>
      <c r="N67" s="17"/>
      <c r="O67" s="22" t="str">
        <f aca="false">IF(COUNTA(J67,K67,N67)=0,"",IF(COUNTA(J67,K67,N67)&lt;3,"Incomplete",IF(OR(K67="No",N67="No",J67&lt;Rules!$B$7,J67&gt;Rules!$B$8),"Not a fit",IF(AND(J67&gt;=Rules!$B$5,J67&lt;=Rules!$B$6,N67="Yes"),"Qualified","Maybe"))))</f>
        <v/>
      </c>
      <c r="P67" s="19"/>
      <c r="Q67" s="17"/>
      <c r="R67" s="17"/>
      <c r="S67" s="17"/>
      <c r="T67" s="17"/>
      <c r="U67" s="23"/>
      <c r="V67" s="17"/>
      <c r="W67" s="21"/>
      <c r="X67" s="18"/>
      <c r="Y67" s="18"/>
      <c r="Z67" s="24" t="str">
        <f aca="false">IF(I67="","",IFERROR(VLOOKUP(I67,Rules!$A$21:$B$30,2,FALSE()),""))</f>
        <v/>
      </c>
    </row>
    <row r="68" customFormat="false" ht="15" hidden="false" customHeight="false" outlineLevel="0" collapsed="false">
      <c r="A68" s="17" t="s">
        <v>166</v>
      </c>
      <c r="B68" s="17"/>
      <c r="C68" s="18"/>
      <c r="D68" s="18"/>
      <c r="E68" s="17"/>
      <c r="F68" s="18"/>
      <c r="G68" s="19"/>
      <c r="H68" s="20" t="str">
        <f aca="false">IF(AND(G68&lt;&gt;"",I68="Contacted"),G68+Rules!$B$17,"")</f>
        <v/>
      </c>
      <c r="I68" s="17"/>
      <c r="J68" s="21"/>
      <c r="K68" s="17"/>
      <c r="L68" s="18"/>
      <c r="M68" s="17"/>
      <c r="N68" s="17"/>
      <c r="O68" s="22" t="str">
        <f aca="false">IF(COUNTA(J68,K68,N68)=0,"",IF(COUNTA(J68,K68,N68)&lt;3,"Incomplete",IF(OR(K68="No",N68="No",J68&lt;Rules!$B$7,J68&gt;Rules!$B$8),"Not a fit",IF(AND(J68&gt;=Rules!$B$5,J68&lt;=Rules!$B$6,N68="Yes"),"Qualified","Maybe"))))</f>
        <v/>
      </c>
      <c r="P68" s="19"/>
      <c r="Q68" s="17"/>
      <c r="R68" s="17"/>
      <c r="S68" s="17"/>
      <c r="T68" s="17"/>
      <c r="U68" s="23"/>
      <c r="V68" s="17"/>
      <c r="W68" s="21"/>
      <c r="X68" s="18"/>
      <c r="Y68" s="18"/>
      <c r="Z68" s="24" t="str">
        <f aca="false">IF(I68="","",IFERROR(VLOOKUP(I68,Rules!$A$21:$B$30,2,FALSE()),""))</f>
        <v/>
      </c>
    </row>
    <row r="69" customFormat="false" ht="15" hidden="false" customHeight="false" outlineLevel="0" collapsed="false">
      <c r="A69" s="17" t="s">
        <v>167</v>
      </c>
      <c r="B69" s="17"/>
      <c r="C69" s="18"/>
      <c r="D69" s="18"/>
      <c r="E69" s="17"/>
      <c r="F69" s="18"/>
      <c r="G69" s="19"/>
      <c r="H69" s="20" t="str">
        <f aca="false">IF(AND(G69&lt;&gt;"",I69="Contacted"),G69+Rules!$B$17,"")</f>
        <v/>
      </c>
      <c r="I69" s="17"/>
      <c r="J69" s="21"/>
      <c r="K69" s="17"/>
      <c r="L69" s="18"/>
      <c r="M69" s="17"/>
      <c r="N69" s="17"/>
      <c r="O69" s="22" t="str">
        <f aca="false">IF(COUNTA(J69,K69,N69)=0,"",IF(COUNTA(J69,K69,N69)&lt;3,"Incomplete",IF(OR(K69="No",N69="No",J69&lt;Rules!$B$7,J69&gt;Rules!$B$8),"Not a fit",IF(AND(J69&gt;=Rules!$B$5,J69&lt;=Rules!$B$6,N69="Yes"),"Qualified","Maybe"))))</f>
        <v/>
      </c>
      <c r="P69" s="19"/>
      <c r="Q69" s="17"/>
      <c r="R69" s="17"/>
      <c r="S69" s="17"/>
      <c r="T69" s="17"/>
      <c r="U69" s="23"/>
      <c r="V69" s="17"/>
      <c r="W69" s="21"/>
      <c r="X69" s="18"/>
      <c r="Y69" s="18"/>
      <c r="Z69" s="24" t="str">
        <f aca="false">IF(I69="","",IFERROR(VLOOKUP(I69,Rules!$A$21:$B$30,2,FALSE()),""))</f>
        <v/>
      </c>
    </row>
    <row r="70" customFormat="false" ht="15" hidden="false" customHeight="false" outlineLevel="0" collapsed="false">
      <c r="A70" s="17" t="s">
        <v>168</v>
      </c>
      <c r="B70" s="17"/>
      <c r="C70" s="18"/>
      <c r="D70" s="18"/>
      <c r="E70" s="17"/>
      <c r="F70" s="18"/>
      <c r="G70" s="19"/>
      <c r="H70" s="20" t="str">
        <f aca="false">IF(AND(G70&lt;&gt;"",I70="Contacted"),G70+Rules!$B$17,"")</f>
        <v/>
      </c>
      <c r="I70" s="17"/>
      <c r="J70" s="21"/>
      <c r="K70" s="17"/>
      <c r="L70" s="18"/>
      <c r="M70" s="17"/>
      <c r="N70" s="17"/>
      <c r="O70" s="22" t="str">
        <f aca="false">IF(COUNTA(J70,K70,N70)=0,"",IF(COUNTA(J70,K70,N70)&lt;3,"Incomplete",IF(OR(K70="No",N70="No",J70&lt;Rules!$B$7,J70&gt;Rules!$B$8),"Not a fit",IF(AND(J70&gt;=Rules!$B$5,J70&lt;=Rules!$B$6,N70="Yes"),"Qualified","Maybe"))))</f>
        <v/>
      </c>
      <c r="P70" s="19"/>
      <c r="Q70" s="17"/>
      <c r="R70" s="17"/>
      <c r="S70" s="17"/>
      <c r="T70" s="17"/>
      <c r="U70" s="23"/>
      <c r="V70" s="17"/>
      <c r="W70" s="21"/>
      <c r="X70" s="18"/>
      <c r="Y70" s="18"/>
      <c r="Z70" s="24" t="str">
        <f aca="false">IF(I70="","",IFERROR(VLOOKUP(I70,Rules!$A$21:$B$30,2,FALSE()),""))</f>
        <v/>
      </c>
    </row>
    <row r="71" customFormat="false" ht="15" hidden="false" customHeight="false" outlineLevel="0" collapsed="false">
      <c r="A71" s="17" t="s">
        <v>169</v>
      </c>
      <c r="B71" s="17"/>
      <c r="C71" s="18"/>
      <c r="D71" s="18"/>
      <c r="E71" s="17"/>
      <c r="F71" s="18"/>
      <c r="G71" s="19"/>
      <c r="H71" s="20" t="str">
        <f aca="false">IF(AND(G71&lt;&gt;"",I71="Contacted"),G71+Rules!$B$17,"")</f>
        <v/>
      </c>
      <c r="I71" s="17"/>
      <c r="J71" s="21"/>
      <c r="K71" s="17"/>
      <c r="L71" s="18"/>
      <c r="M71" s="17"/>
      <c r="N71" s="17"/>
      <c r="O71" s="22" t="str">
        <f aca="false">IF(COUNTA(J71,K71,N71)=0,"",IF(COUNTA(J71,K71,N71)&lt;3,"Incomplete",IF(OR(K71="No",N71="No",J71&lt;Rules!$B$7,J71&gt;Rules!$B$8),"Not a fit",IF(AND(J71&gt;=Rules!$B$5,J71&lt;=Rules!$B$6,N71="Yes"),"Qualified","Maybe"))))</f>
        <v/>
      </c>
      <c r="P71" s="19"/>
      <c r="Q71" s="17"/>
      <c r="R71" s="17"/>
      <c r="S71" s="17"/>
      <c r="T71" s="17"/>
      <c r="U71" s="23"/>
      <c r="V71" s="17"/>
      <c r="W71" s="21"/>
      <c r="X71" s="18"/>
      <c r="Y71" s="18"/>
      <c r="Z71" s="24" t="str">
        <f aca="false">IF(I71="","",IFERROR(VLOOKUP(I71,Rules!$A$21:$B$30,2,FALSE()),""))</f>
        <v/>
      </c>
    </row>
    <row r="72" customFormat="false" ht="15" hidden="false" customHeight="false" outlineLevel="0" collapsed="false">
      <c r="A72" s="17" t="s">
        <v>170</v>
      </c>
      <c r="B72" s="17"/>
      <c r="C72" s="18"/>
      <c r="D72" s="18"/>
      <c r="E72" s="17"/>
      <c r="F72" s="18"/>
      <c r="G72" s="19"/>
      <c r="H72" s="20" t="str">
        <f aca="false">IF(AND(G72&lt;&gt;"",I72="Contacted"),G72+Rules!$B$17,"")</f>
        <v/>
      </c>
      <c r="I72" s="17"/>
      <c r="J72" s="21"/>
      <c r="K72" s="17"/>
      <c r="L72" s="18"/>
      <c r="M72" s="17"/>
      <c r="N72" s="17"/>
      <c r="O72" s="22" t="str">
        <f aca="false">IF(COUNTA(J72,K72,N72)=0,"",IF(COUNTA(J72,K72,N72)&lt;3,"Incomplete",IF(OR(K72="No",N72="No",J72&lt;Rules!$B$7,J72&gt;Rules!$B$8),"Not a fit",IF(AND(J72&gt;=Rules!$B$5,J72&lt;=Rules!$B$6,N72="Yes"),"Qualified","Maybe"))))</f>
        <v/>
      </c>
      <c r="P72" s="19"/>
      <c r="Q72" s="17"/>
      <c r="R72" s="17"/>
      <c r="S72" s="17"/>
      <c r="T72" s="17"/>
      <c r="U72" s="23"/>
      <c r="V72" s="17"/>
      <c r="W72" s="21"/>
      <c r="X72" s="18"/>
      <c r="Y72" s="18"/>
      <c r="Z72" s="24" t="str">
        <f aca="false">IF(I72="","",IFERROR(VLOOKUP(I72,Rules!$A$21:$B$30,2,FALSE()),""))</f>
        <v/>
      </c>
    </row>
    <row r="73" customFormat="false" ht="15" hidden="false" customHeight="false" outlineLevel="0" collapsed="false">
      <c r="A73" s="17" t="s">
        <v>171</v>
      </c>
      <c r="B73" s="17"/>
      <c r="C73" s="18"/>
      <c r="D73" s="18"/>
      <c r="E73" s="17"/>
      <c r="F73" s="18"/>
      <c r="G73" s="19"/>
      <c r="H73" s="20" t="str">
        <f aca="false">IF(AND(G73&lt;&gt;"",I73="Contacted"),G73+Rules!$B$17,"")</f>
        <v/>
      </c>
      <c r="I73" s="17"/>
      <c r="J73" s="21"/>
      <c r="K73" s="17"/>
      <c r="L73" s="18"/>
      <c r="M73" s="17"/>
      <c r="N73" s="17"/>
      <c r="O73" s="22" t="str">
        <f aca="false">IF(COUNTA(J73,K73,N73)=0,"",IF(COUNTA(J73,K73,N73)&lt;3,"Incomplete",IF(OR(K73="No",N73="No",J73&lt;Rules!$B$7,J73&gt;Rules!$B$8),"Not a fit",IF(AND(J73&gt;=Rules!$B$5,J73&lt;=Rules!$B$6,N73="Yes"),"Qualified","Maybe"))))</f>
        <v/>
      </c>
      <c r="P73" s="19"/>
      <c r="Q73" s="17"/>
      <c r="R73" s="17"/>
      <c r="S73" s="17"/>
      <c r="T73" s="17"/>
      <c r="U73" s="23"/>
      <c r="V73" s="17"/>
      <c r="W73" s="21"/>
      <c r="X73" s="18"/>
      <c r="Y73" s="18"/>
      <c r="Z73" s="24" t="str">
        <f aca="false">IF(I73="","",IFERROR(VLOOKUP(I73,Rules!$A$21:$B$30,2,FALSE()),""))</f>
        <v/>
      </c>
    </row>
    <row r="74" customFormat="false" ht="15" hidden="false" customHeight="false" outlineLevel="0" collapsed="false">
      <c r="A74" s="17" t="s">
        <v>172</v>
      </c>
      <c r="B74" s="17"/>
      <c r="C74" s="18"/>
      <c r="D74" s="18"/>
      <c r="E74" s="17"/>
      <c r="F74" s="18"/>
      <c r="G74" s="19"/>
      <c r="H74" s="20" t="str">
        <f aca="false">IF(AND(G74&lt;&gt;"",I74="Contacted"),G74+Rules!$B$17,"")</f>
        <v/>
      </c>
      <c r="I74" s="17"/>
      <c r="J74" s="21"/>
      <c r="K74" s="17"/>
      <c r="L74" s="18"/>
      <c r="M74" s="17"/>
      <c r="N74" s="17"/>
      <c r="O74" s="22" t="str">
        <f aca="false">IF(COUNTA(J74,K74,N74)=0,"",IF(COUNTA(J74,K74,N74)&lt;3,"Incomplete",IF(OR(K74="No",N74="No",J74&lt;Rules!$B$7,J74&gt;Rules!$B$8),"Not a fit",IF(AND(J74&gt;=Rules!$B$5,J74&lt;=Rules!$B$6,N74="Yes"),"Qualified","Maybe"))))</f>
        <v/>
      </c>
      <c r="P74" s="19"/>
      <c r="Q74" s="17"/>
      <c r="R74" s="17"/>
      <c r="S74" s="17"/>
      <c r="T74" s="17"/>
      <c r="U74" s="23"/>
      <c r="V74" s="17"/>
      <c r="W74" s="21"/>
      <c r="X74" s="18"/>
      <c r="Y74" s="18"/>
      <c r="Z74" s="24" t="str">
        <f aca="false">IF(I74="","",IFERROR(VLOOKUP(I74,Rules!$A$21:$B$30,2,FALSE()),""))</f>
        <v/>
      </c>
    </row>
    <row r="75" customFormat="false" ht="15" hidden="false" customHeight="false" outlineLevel="0" collapsed="false">
      <c r="A75" s="17" t="s">
        <v>173</v>
      </c>
      <c r="B75" s="17"/>
      <c r="C75" s="18"/>
      <c r="D75" s="18"/>
      <c r="E75" s="17"/>
      <c r="F75" s="18"/>
      <c r="G75" s="19"/>
      <c r="H75" s="20" t="str">
        <f aca="false">IF(AND(G75&lt;&gt;"",I75="Contacted"),G75+Rules!$B$17,"")</f>
        <v/>
      </c>
      <c r="I75" s="17"/>
      <c r="J75" s="21"/>
      <c r="K75" s="17"/>
      <c r="L75" s="18"/>
      <c r="M75" s="17"/>
      <c r="N75" s="17"/>
      <c r="O75" s="22" t="str">
        <f aca="false">IF(COUNTA(J75,K75,N75)=0,"",IF(COUNTA(J75,K75,N75)&lt;3,"Incomplete",IF(OR(K75="No",N75="No",J75&lt;Rules!$B$7,J75&gt;Rules!$B$8),"Not a fit",IF(AND(J75&gt;=Rules!$B$5,J75&lt;=Rules!$B$6,N75="Yes"),"Qualified","Maybe"))))</f>
        <v/>
      </c>
      <c r="P75" s="19"/>
      <c r="Q75" s="17"/>
      <c r="R75" s="17"/>
      <c r="S75" s="17"/>
      <c r="T75" s="17"/>
      <c r="U75" s="23"/>
      <c r="V75" s="17"/>
      <c r="W75" s="21"/>
      <c r="X75" s="18"/>
      <c r="Y75" s="18"/>
      <c r="Z75" s="24" t="str">
        <f aca="false">IF(I75="","",IFERROR(VLOOKUP(I75,Rules!$A$21:$B$30,2,FALSE()),""))</f>
        <v/>
      </c>
    </row>
    <row r="76" customFormat="false" ht="15" hidden="false" customHeight="false" outlineLevel="0" collapsed="false">
      <c r="A76" s="17" t="s">
        <v>174</v>
      </c>
      <c r="B76" s="17"/>
      <c r="C76" s="18"/>
      <c r="D76" s="18"/>
      <c r="E76" s="17"/>
      <c r="F76" s="18"/>
      <c r="G76" s="19"/>
      <c r="H76" s="20" t="str">
        <f aca="false">IF(AND(G76&lt;&gt;"",I76="Contacted"),G76+Rules!$B$17,"")</f>
        <v/>
      </c>
      <c r="I76" s="17"/>
      <c r="J76" s="21"/>
      <c r="K76" s="17"/>
      <c r="L76" s="18"/>
      <c r="M76" s="17"/>
      <c r="N76" s="17"/>
      <c r="O76" s="22" t="str">
        <f aca="false">IF(COUNTA(J76,K76,N76)=0,"",IF(COUNTA(J76,K76,N76)&lt;3,"Incomplete",IF(OR(K76="No",N76="No",J76&lt;Rules!$B$7,J76&gt;Rules!$B$8),"Not a fit",IF(AND(J76&gt;=Rules!$B$5,J76&lt;=Rules!$B$6,N76="Yes"),"Qualified","Maybe"))))</f>
        <v/>
      </c>
      <c r="P76" s="19"/>
      <c r="Q76" s="17"/>
      <c r="R76" s="17"/>
      <c r="S76" s="17"/>
      <c r="T76" s="17"/>
      <c r="U76" s="23"/>
      <c r="V76" s="17"/>
      <c r="W76" s="21"/>
      <c r="X76" s="18"/>
      <c r="Y76" s="18"/>
      <c r="Z76" s="24" t="str">
        <f aca="false">IF(I76="","",IFERROR(VLOOKUP(I76,Rules!$A$21:$B$30,2,FALSE()),""))</f>
        <v/>
      </c>
    </row>
    <row r="77" customFormat="false" ht="15" hidden="false" customHeight="false" outlineLevel="0" collapsed="false">
      <c r="A77" s="17" t="s">
        <v>175</v>
      </c>
      <c r="B77" s="17"/>
      <c r="C77" s="18"/>
      <c r="D77" s="18"/>
      <c r="E77" s="17"/>
      <c r="F77" s="18"/>
      <c r="G77" s="19"/>
      <c r="H77" s="20" t="str">
        <f aca="false">IF(AND(G77&lt;&gt;"",I77="Contacted"),G77+Rules!$B$17,"")</f>
        <v/>
      </c>
      <c r="I77" s="17"/>
      <c r="J77" s="21"/>
      <c r="K77" s="17"/>
      <c r="L77" s="18"/>
      <c r="M77" s="17"/>
      <c r="N77" s="17"/>
      <c r="O77" s="22" t="str">
        <f aca="false">IF(COUNTA(J77,K77,N77)=0,"",IF(COUNTA(J77,K77,N77)&lt;3,"Incomplete",IF(OR(K77="No",N77="No",J77&lt;Rules!$B$7,J77&gt;Rules!$B$8),"Not a fit",IF(AND(J77&gt;=Rules!$B$5,J77&lt;=Rules!$B$6,N77="Yes"),"Qualified","Maybe"))))</f>
        <v/>
      </c>
      <c r="P77" s="19"/>
      <c r="Q77" s="17"/>
      <c r="R77" s="17"/>
      <c r="S77" s="17"/>
      <c r="T77" s="17"/>
      <c r="U77" s="23"/>
      <c r="V77" s="17"/>
      <c r="W77" s="21"/>
      <c r="X77" s="18"/>
      <c r="Y77" s="18"/>
      <c r="Z77" s="24" t="str">
        <f aca="false">IF(I77="","",IFERROR(VLOOKUP(I77,Rules!$A$21:$B$30,2,FALSE()),""))</f>
        <v/>
      </c>
    </row>
    <row r="78" customFormat="false" ht="15" hidden="false" customHeight="false" outlineLevel="0" collapsed="false">
      <c r="A78" s="17" t="s">
        <v>176</v>
      </c>
      <c r="B78" s="17"/>
      <c r="C78" s="18"/>
      <c r="D78" s="18"/>
      <c r="E78" s="17"/>
      <c r="F78" s="18"/>
      <c r="G78" s="19"/>
      <c r="H78" s="20" t="str">
        <f aca="false">IF(AND(G78&lt;&gt;"",I78="Contacted"),G78+Rules!$B$17,"")</f>
        <v/>
      </c>
      <c r="I78" s="17"/>
      <c r="J78" s="21"/>
      <c r="K78" s="17"/>
      <c r="L78" s="18"/>
      <c r="M78" s="17"/>
      <c r="N78" s="17"/>
      <c r="O78" s="22" t="str">
        <f aca="false">IF(COUNTA(J78,K78,N78)=0,"",IF(COUNTA(J78,K78,N78)&lt;3,"Incomplete",IF(OR(K78="No",N78="No",J78&lt;Rules!$B$7,J78&gt;Rules!$B$8),"Not a fit",IF(AND(J78&gt;=Rules!$B$5,J78&lt;=Rules!$B$6,N78="Yes"),"Qualified","Maybe"))))</f>
        <v/>
      </c>
      <c r="P78" s="19"/>
      <c r="Q78" s="17"/>
      <c r="R78" s="17"/>
      <c r="S78" s="17"/>
      <c r="T78" s="17"/>
      <c r="U78" s="23"/>
      <c r="V78" s="17"/>
      <c r="W78" s="21"/>
      <c r="X78" s="18"/>
      <c r="Y78" s="18"/>
      <c r="Z78" s="24" t="str">
        <f aca="false">IF(I78="","",IFERROR(VLOOKUP(I78,Rules!$A$21:$B$30,2,FALSE()),""))</f>
        <v/>
      </c>
    </row>
    <row r="79" customFormat="false" ht="15" hidden="false" customHeight="false" outlineLevel="0" collapsed="false">
      <c r="A79" s="17" t="s">
        <v>177</v>
      </c>
      <c r="B79" s="17"/>
      <c r="C79" s="18"/>
      <c r="D79" s="18"/>
      <c r="E79" s="17"/>
      <c r="F79" s="18"/>
      <c r="G79" s="19"/>
      <c r="H79" s="20" t="str">
        <f aca="false">IF(AND(G79&lt;&gt;"",I79="Contacted"),G79+Rules!$B$17,"")</f>
        <v/>
      </c>
      <c r="I79" s="17"/>
      <c r="J79" s="21"/>
      <c r="K79" s="17"/>
      <c r="L79" s="18"/>
      <c r="M79" s="17"/>
      <c r="N79" s="17"/>
      <c r="O79" s="22" t="str">
        <f aca="false">IF(COUNTA(J79,K79,N79)=0,"",IF(COUNTA(J79,K79,N79)&lt;3,"Incomplete",IF(OR(K79="No",N79="No",J79&lt;Rules!$B$7,J79&gt;Rules!$B$8),"Not a fit",IF(AND(J79&gt;=Rules!$B$5,J79&lt;=Rules!$B$6,N79="Yes"),"Qualified","Maybe"))))</f>
        <v/>
      </c>
      <c r="P79" s="19"/>
      <c r="Q79" s="17"/>
      <c r="R79" s="17"/>
      <c r="S79" s="17"/>
      <c r="T79" s="17"/>
      <c r="U79" s="23"/>
      <c r="V79" s="17"/>
      <c r="W79" s="21"/>
      <c r="X79" s="18"/>
      <c r="Y79" s="18"/>
      <c r="Z79" s="24" t="str">
        <f aca="false">IF(I79="","",IFERROR(VLOOKUP(I79,Rules!$A$21:$B$30,2,FALSE()),""))</f>
        <v/>
      </c>
    </row>
    <row r="80" customFormat="false" ht="15" hidden="false" customHeight="false" outlineLevel="0" collapsed="false">
      <c r="A80" s="17" t="s">
        <v>178</v>
      </c>
      <c r="B80" s="17"/>
      <c r="C80" s="18"/>
      <c r="D80" s="18"/>
      <c r="E80" s="17"/>
      <c r="F80" s="18"/>
      <c r="G80" s="19"/>
      <c r="H80" s="20" t="str">
        <f aca="false">IF(AND(G80&lt;&gt;"",I80="Contacted"),G80+Rules!$B$17,"")</f>
        <v/>
      </c>
      <c r="I80" s="17"/>
      <c r="J80" s="21"/>
      <c r="K80" s="17"/>
      <c r="L80" s="18"/>
      <c r="M80" s="17"/>
      <c r="N80" s="17"/>
      <c r="O80" s="22" t="str">
        <f aca="false">IF(COUNTA(J80,K80,N80)=0,"",IF(COUNTA(J80,K80,N80)&lt;3,"Incomplete",IF(OR(K80="No",N80="No",J80&lt;Rules!$B$7,J80&gt;Rules!$B$8),"Not a fit",IF(AND(J80&gt;=Rules!$B$5,J80&lt;=Rules!$B$6,N80="Yes"),"Qualified","Maybe"))))</f>
        <v/>
      </c>
      <c r="P80" s="19"/>
      <c r="Q80" s="17"/>
      <c r="R80" s="17"/>
      <c r="S80" s="17"/>
      <c r="T80" s="17"/>
      <c r="U80" s="23"/>
      <c r="V80" s="17"/>
      <c r="W80" s="21"/>
      <c r="X80" s="18"/>
      <c r="Y80" s="18"/>
      <c r="Z80" s="24" t="str">
        <f aca="false">IF(I80="","",IFERROR(VLOOKUP(I80,Rules!$A$21:$B$30,2,FALSE()),""))</f>
        <v/>
      </c>
    </row>
    <row r="81" customFormat="false" ht="15" hidden="false" customHeight="false" outlineLevel="0" collapsed="false">
      <c r="A81" s="17" t="s">
        <v>179</v>
      </c>
      <c r="B81" s="17"/>
      <c r="C81" s="18"/>
      <c r="D81" s="18"/>
      <c r="E81" s="17"/>
      <c r="F81" s="18"/>
      <c r="G81" s="19"/>
      <c r="H81" s="20" t="str">
        <f aca="false">IF(AND(G81&lt;&gt;"",I81="Contacted"),G81+Rules!$B$17,"")</f>
        <v/>
      </c>
      <c r="I81" s="17"/>
      <c r="J81" s="21"/>
      <c r="K81" s="17"/>
      <c r="L81" s="18"/>
      <c r="M81" s="17"/>
      <c r="N81" s="17"/>
      <c r="O81" s="22" t="str">
        <f aca="false">IF(COUNTA(J81,K81,N81)=0,"",IF(COUNTA(J81,K81,N81)&lt;3,"Incomplete",IF(OR(K81="No",N81="No",J81&lt;Rules!$B$7,J81&gt;Rules!$B$8),"Not a fit",IF(AND(J81&gt;=Rules!$B$5,J81&lt;=Rules!$B$6,N81="Yes"),"Qualified","Maybe"))))</f>
        <v/>
      </c>
      <c r="P81" s="19"/>
      <c r="Q81" s="17"/>
      <c r="R81" s="17"/>
      <c r="S81" s="17"/>
      <c r="T81" s="17"/>
      <c r="U81" s="23"/>
      <c r="V81" s="17"/>
      <c r="W81" s="21"/>
      <c r="X81" s="18"/>
      <c r="Y81" s="18"/>
      <c r="Z81" s="24" t="str">
        <f aca="false">IF(I81="","",IFERROR(VLOOKUP(I81,Rules!$A$21:$B$30,2,FALSE()),""))</f>
        <v/>
      </c>
    </row>
    <row r="82" customFormat="false" ht="15" hidden="false" customHeight="false" outlineLevel="0" collapsed="false">
      <c r="A82" s="17" t="s">
        <v>180</v>
      </c>
      <c r="B82" s="17"/>
      <c r="C82" s="18"/>
      <c r="D82" s="18"/>
      <c r="E82" s="17"/>
      <c r="F82" s="18"/>
      <c r="G82" s="19"/>
      <c r="H82" s="20" t="str">
        <f aca="false">IF(AND(G82&lt;&gt;"",I82="Contacted"),G82+Rules!$B$17,"")</f>
        <v/>
      </c>
      <c r="I82" s="17"/>
      <c r="J82" s="21"/>
      <c r="K82" s="17"/>
      <c r="L82" s="18"/>
      <c r="M82" s="17"/>
      <c r="N82" s="17"/>
      <c r="O82" s="22" t="str">
        <f aca="false">IF(COUNTA(J82,K82,N82)=0,"",IF(COUNTA(J82,K82,N82)&lt;3,"Incomplete",IF(OR(K82="No",N82="No",J82&lt;Rules!$B$7,J82&gt;Rules!$B$8),"Not a fit",IF(AND(J82&gt;=Rules!$B$5,J82&lt;=Rules!$B$6,N82="Yes"),"Qualified","Maybe"))))</f>
        <v/>
      </c>
      <c r="P82" s="19"/>
      <c r="Q82" s="17"/>
      <c r="R82" s="17"/>
      <c r="S82" s="17"/>
      <c r="T82" s="17"/>
      <c r="U82" s="23"/>
      <c r="V82" s="17"/>
      <c r="W82" s="21"/>
      <c r="X82" s="18"/>
      <c r="Y82" s="18"/>
      <c r="Z82" s="24" t="str">
        <f aca="false">IF(I82="","",IFERROR(VLOOKUP(I82,Rules!$A$21:$B$30,2,FALSE()),""))</f>
        <v/>
      </c>
    </row>
    <row r="83" customFormat="false" ht="15" hidden="false" customHeight="false" outlineLevel="0" collapsed="false">
      <c r="A83" s="17" t="s">
        <v>181</v>
      </c>
      <c r="B83" s="17"/>
      <c r="C83" s="18"/>
      <c r="D83" s="18"/>
      <c r="E83" s="17"/>
      <c r="F83" s="18"/>
      <c r="G83" s="19"/>
      <c r="H83" s="20" t="str">
        <f aca="false">IF(AND(G83&lt;&gt;"",I83="Contacted"),G83+Rules!$B$17,"")</f>
        <v/>
      </c>
      <c r="I83" s="17"/>
      <c r="J83" s="21"/>
      <c r="K83" s="17"/>
      <c r="L83" s="18"/>
      <c r="M83" s="17"/>
      <c r="N83" s="17"/>
      <c r="O83" s="22" t="str">
        <f aca="false">IF(COUNTA(J83,K83,N83)=0,"",IF(COUNTA(J83,K83,N83)&lt;3,"Incomplete",IF(OR(K83="No",N83="No",J83&lt;Rules!$B$7,J83&gt;Rules!$B$8),"Not a fit",IF(AND(J83&gt;=Rules!$B$5,J83&lt;=Rules!$B$6,N83="Yes"),"Qualified","Maybe"))))</f>
        <v/>
      </c>
      <c r="P83" s="19"/>
      <c r="Q83" s="17"/>
      <c r="R83" s="17"/>
      <c r="S83" s="17"/>
      <c r="T83" s="17"/>
      <c r="U83" s="23"/>
      <c r="V83" s="17"/>
      <c r="W83" s="21"/>
      <c r="X83" s="18"/>
      <c r="Y83" s="18"/>
      <c r="Z83" s="24" t="str">
        <f aca="false">IF(I83="","",IFERROR(VLOOKUP(I83,Rules!$A$21:$B$30,2,FALSE()),""))</f>
        <v/>
      </c>
    </row>
    <row r="84" customFormat="false" ht="15" hidden="false" customHeight="false" outlineLevel="0" collapsed="false">
      <c r="A84" s="17" t="s">
        <v>182</v>
      </c>
      <c r="B84" s="17"/>
      <c r="C84" s="18"/>
      <c r="D84" s="18"/>
      <c r="E84" s="17"/>
      <c r="F84" s="18"/>
      <c r="G84" s="19"/>
      <c r="H84" s="20" t="str">
        <f aca="false">IF(AND(G84&lt;&gt;"",I84="Contacted"),G84+Rules!$B$17,"")</f>
        <v/>
      </c>
      <c r="I84" s="17"/>
      <c r="J84" s="21"/>
      <c r="K84" s="17"/>
      <c r="L84" s="18"/>
      <c r="M84" s="17"/>
      <c r="N84" s="17"/>
      <c r="O84" s="22" t="str">
        <f aca="false">IF(COUNTA(J84,K84,N84)=0,"",IF(COUNTA(J84,K84,N84)&lt;3,"Incomplete",IF(OR(K84="No",N84="No",J84&lt;Rules!$B$7,J84&gt;Rules!$B$8),"Not a fit",IF(AND(J84&gt;=Rules!$B$5,J84&lt;=Rules!$B$6,N84="Yes"),"Qualified","Maybe"))))</f>
        <v/>
      </c>
      <c r="P84" s="19"/>
      <c r="Q84" s="17"/>
      <c r="R84" s="17"/>
      <c r="S84" s="17"/>
      <c r="T84" s="17"/>
      <c r="U84" s="23"/>
      <c r="V84" s="17"/>
      <c r="W84" s="21"/>
      <c r="X84" s="18"/>
      <c r="Y84" s="18"/>
      <c r="Z84" s="24" t="str">
        <f aca="false">IF(I84="","",IFERROR(VLOOKUP(I84,Rules!$A$21:$B$30,2,FALSE()),""))</f>
        <v/>
      </c>
    </row>
    <row r="85" customFormat="false" ht="15" hidden="false" customHeight="false" outlineLevel="0" collapsed="false">
      <c r="A85" s="17" t="s">
        <v>183</v>
      </c>
      <c r="B85" s="17"/>
      <c r="C85" s="18"/>
      <c r="D85" s="18"/>
      <c r="E85" s="17"/>
      <c r="F85" s="18"/>
      <c r="G85" s="19"/>
      <c r="H85" s="20" t="str">
        <f aca="false">IF(AND(G85&lt;&gt;"",I85="Contacted"),G85+Rules!$B$17,"")</f>
        <v/>
      </c>
      <c r="I85" s="17"/>
      <c r="J85" s="21"/>
      <c r="K85" s="17"/>
      <c r="L85" s="18"/>
      <c r="M85" s="17"/>
      <c r="N85" s="17"/>
      <c r="O85" s="22" t="str">
        <f aca="false">IF(COUNTA(J85,K85,N85)=0,"",IF(COUNTA(J85,K85,N85)&lt;3,"Incomplete",IF(OR(K85="No",N85="No",J85&lt;Rules!$B$7,J85&gt;Rules!$B$8),"Not a fit",IF(AND(J85&gt;=Rules!$B$5,J85&lt;=Rules!$B$6,N85="Yes"),"Qualified","Maybe"))))</f>
        <v/>
      </c>
      <c r="P85" s="19"/>
      <c r="Q85" s="17"/>
      <c r="R85" s="17"/>
      <c r="S85" s="17"/>
      <c r="T85" s="17"/>
      <c r="U85" s="23"/>
      <c r="V85" s="17"/>
      <c r="W85" s="21"/>
      <c r="X85" s="18"/>
      <c r="Y85" s="18"/>
      <c r="Z85" s="24" t="str">
        <f aca="false">IF(I85="","",IFERROR(VLOOKUP(I85,Rules!$A$21:$B$30,2,FALSE()),""))</f>
        <v/>
      </c>
    </row>
    <row r="86" customFormat="false" ht="15" hidden="false" customHeight="false" outlineLevel="0" collapsed="false">
      <c r="A86" s="17" t="s">
        <v>184</v>
      </c>
      <c r="B86" s="17"/>
      <c r="C86" s="18"/>
      <c r="D86" s="18"/>
      <c r="E86" s="17"/>
      <c r="F86" s="18"/>
      <c r="G86" s="19"/>
      <c r="H86" s="20" t="str">
        <f aca="false">IF(AND(G86&lt;&gt;"",I86="Contacted"),G86+Rules!$B$17,"")</f>
        <v/>
      </c>
      <c r="I86" s="17"/>
      <c r="J86" s="21"/>
      <c r="K86" s="17"/>
      <c r="L86" s="18"/>
      <c r="M86" s="17"/>
      <c r="N86" s="17"/>
      <c r="O86" s="22" t="str">
        <f aca="false">IF(COUNTA(J86,K86,N86)=0,"",IF(COUNTA(J86,K86,N86)&lt;3,"Incomplete",IF(OR(K86="No",N86="No",J86&lt;Rules!$B$7,J86&gt;Rules!$B$8),"Not a fit",IF(AND(J86&gt;=Rules!$B$5,J86&lt;=Rules!$B$6,N86="Yes"),"Qualified","Maybe"))))</f>
        <v/>
      </c>
      <c r="P86" s="19"/>
      <c r="Q86" s="17"/>
      <c r="R86" s="17"/>
      <c r="S86" s="17"/>
      <c r="T86" s="17"/>
      <c r="U86" s="23"/>
      <c r="V86" s="17"/>
      <c r="W86" s="21"/>
      <c r="X86" s="18"/>
      <c r="Y86" s="18"/>
      <c r="Z86" s="24" t="str">
        <f aca="false">IF(I86="","",IFERROR(VLOOKUP(I86,Rules!$A$21:$B$30,2,FALSE()),""))</f>
        <v/>
      </c>
    </row>
    <row r="87" customFormat="false" ht="15" hidden="false" customHeight="false" outlineLevel="0" collapsed="false">
      <c r="A87" s="17" t="s">
        <v>185</v>
      </c>
      <c r="B87" s="17"/>
      <c r="C87" s="18"/>
      <c r="D87" s="18"/>
      <c r="E87" s="17"/>
      <c r="F87" s="18"/>
      <c r="G87" s="19"/>
      <c r="H87" s="20" t="str">
        <f aca="false">IF(AND(G87&lt;&gt;"",I87="Contacted"),G87+Rules!$B$17,"")</f>
        <v/>
      </c>
      <c r="I87" s="17"/>
      <c r="J87" s="21"/>
      <c r="K87" s="17"/>
      <c r="L87" s="18"/>
      <c r="M87" s="17"/>
      <c r="N87" s="17"/>
      <c r="O87" s="22" t="str">
        <f aca="false">IF(COUNTA(J87,K87,N87)=0,"",IF(COUNTA(J87,K87,N87)&lt;3,"Incomplete",IF(OR(K87="No",N87="No",J87&lt;Rules!$B$7,J87&gt;Rules!$B$8),"Not a fit",IF(AND(J87&gt;=Rules!$B$5,J87&lt;=Rules!$B$6,N87="Yes"),"Qualified","Maybe"))))</f>
        <v/>
      </c>
      <c r="P87" s="19"/>
      <c r="Q87" s="17"/>
      <c r="R87" s="17"/>
      <c r="S87" s="17"/>
      <c r="T87" s="17"/>
      <c r="U87" s="23"/>
      <c r="V87" s="17"/>
      <c r="W87" s="21"/>
      <c r="X87" s="18"/>
      <c r="Y87" s="18"/>
      <c r="Z87" s="24" t="str">
        <f aca="false">IF(I87="","",IFERROR(VLOOKUP(I87,Rules!$A$21:$B$30,2,FALSE()),""))</f>
        <v/>
      </c>
    </row>
    <row r="88" customFormat="false" ht="15" hidden="false" customHeight="false" outlineLevel="0" collapsed="false">
      <c r="A88" s="17" t="s">
        <v>186</v>
      </c>
      <c r="B88" s="17"/>
      <c r="C88" s="18"/>
      <c r="D88" s="18"/>
      <c r="E88" s="17"/>
      <c r="F88" s="18"/>
      <c r="G88" s="19"/>
      <c r="H88" s="20" t="str">
        <f aca="false">IF(AND(G88&lt;&gt;"",I88="Contacted"),G88+Rules!$B$17,"")</f>
        <v/>
      </c>
      <c r="I88" s="17"/>
      <c r="J88" s="21"/>
      <c r="K88" s="17"/>
      <c r="L88" s="18"/>
      <c r="M88" s="17"/>
      <c r="N88" s="17"/>
      <c r="O88" s="22" t="str">
        <f aca="false">IF(COUNTA(J88,K88,N88)=0,"",IF(COUNTA(J88,K88,N88)&lt;3,"Incomplete",IF(OR(K88="No",N88="No",J88&lt;Rules!$B$7,J88&gt;Rules!$B$8),"Not a fit",IF(AND(J88&gt;=Rules!$B$5,J88&lt;=Rules!$B$6,N88="Yes"),"Qualified","Maybe"))))</f>
        <v/>
      </c>
      <c r="P88" s="19"/>
      <c r="Q88" s="17"/>
      <c r="R88" s="17"/>
      <c r="S88" s="17"/>
      <c r="T88" s="17"/>
      <c r="U88" s="23"/>
      <c r="V88" s="17"/>
      <c r="W88" s="21"/>
      <c r="X88" s="18"/>
      <c r="Y88" s="18"/>
      <c r="Z88" s="24" t="str">
        <f aca="false">IF(I88="","",IFERROR(VLOOKUP(I88,Rules!$A$21:$B$30,2,FALSE()),""))</f>
        <v/>
      </c>
    </row>
    <row r="89" customFormat="false" ht="15" hidden="false" customHeight="false" outlineLevel="0" collapsed="false">
      <c r="A89" s="17" t="s">
        <v>187</v>
      </c>
      <c r="B89" s="17"/>
      <c r="C89" s="18"/>
      <c r="D89" s="18"/>
      <c r="E89" s="17"/>
      <c r="F89" s="18"/>
      <c r="G89" s="19"/>
      <c r="H89" s="20" t="str">
        <f aca="false">IF(AND(G89&lt;&gt;"",I89="Contacted"),G89+Rules!$B$17,"")</f>
        <v/>
      </c>
      <c r="I89" s="17"/>
      <c r="J89" s="21"/>
      <c r="K89" s="17"/>
      <c r="L89" s="18"/>
      <c r="M89" s="17"/>
      <c r="N89" s="17"/>
      <c r="O89" s="22" t="str">
        <f aca="false">IF(COUNTA(J89,K89,N89)=0,"",IF(COUNTA(J89,K89,N89)&lt;3,"Incomplete",IF(OR(K89="No",N89="No",J89&lt;Rules!$B$7,J89&gt;Rules!$B$8),"Not a fit",IF(AND(J89&gt;=Rules!$B$5,J89&lt;=Rules!$B$6,N89="Yes"),"Qualified","Maybe"))))</f>
        <v/>
      </c>
      <c r="P89" s="19"/>
      <c r="Q89" s="17"/>
      <c r="R89" s="17"/>
      <c r="S89" s="17"/>
      <c r="T89" s="17"/>
      <c r="U89" s="23"/>
      <c r="V89" s="17"/>
      <c r="W89" s="21"/>
      <c r="X89" s="18"/>
      <c r="Y89" s="18"/>
      <c r="Z89" s="24" t="str">
        <f aca="false">IF(I89="","",IFERROR(VLOOKUP(I89,Rules!$A$21:$B$30,2,FALSE()),""))</f>
        <v/>
      </c>
    </row>
    <row r="90" customFormat="false" ht="15" hidden="false" customHeight="false" outlineLevel="0" collapsed="false">
      <c r="A90" s="17" t="s">
        <v>188</v>
      </c>
      <c r="B90" s="17"/>
      <c r="C90" s="18"/>
      <c r="D90" s="18"/>
      <c r="E90" s="17"/>
      <c r="F90" s="18"/>
      <c r="G90" s="19"/>
      <c r="H90" s="20" t="str">
        <f aca="false">IF(AND(G90&lt;&gt;"",I90="Contacted"),G90+Rules!$B$17,"")</f>
        <v/>
      </c>
      <c r="I90" s="17"/>
      <c r="J90" s="21"/>
      <c r="K90" s="17"/>
      <c r="L90" s="18"/>
      <c r="M90" s="17"/>
      <c r="N90" s="17"/>
      <c r="O90" s="22" t="str">
        <f aca="false">IF(COUNTA(J90,K90,N90)=0,"",IF(COUNTA(J90,K90,N90)&lt;3,"Incomplete",IF(OR(K90="No",N90="No",J90&lt;Rules!$B$7,J90&gt;Rules!$B$8),"Not a fit",IF(AND(J90&gt;=Rules!$B$5,J90&lt;=Rules!$B$6,N90="Yes"),"Qualified","Maybe"))))</f>
        <v/>
      </c>
      <c r="P90" s="19"/>
      <c r="Q90" s="17"/>
      <c r="R90" s="17"/>
      <c r="S90" s="17"/>
      <c r="T90" s="17"/>
      <c r="U90" s="23"/>
      <c r="V90" s="17"/>
      <c r="W90" s="21"/>
      <c r="X90" s="18"/>
      <c r="Y90" s="18"/>
      <c r="Z90" s="24" t="str">
        <f aca="false">IF(I90="","",IFERROR(VLOOKUP(I90,Rules!$A$21:$B$30,2,FALSE()),""))</f>
        <v/>
      </c>
    </row>
    <row r="91" customFormat="false" ht="15" hidden="false" customHeight="false" outlineLevel="0" collapsed="false">
      <c r="A91" s="17" t="s">
        <v>189</v>
      </c>
      <c r="B91" s="17"/>
      <c r="C91" s="18"/>
      <c r="D91" s="18"/>
      <c r="E91" s="17"/>
      <c r="F91" s="18"/>
      <c r="G91" s="19"/>
      <c r="H91" s="20" t="str">
        <f aca="false">IF(AND(G91&lt;&gt;"",I91="Contacted"),G91+Rules!$B$17,"")</f>
        <v/>
      </c>
      <c r="I91" s="17"/>
      <c r="J91" s="21"/>
      <c r="K91" s="17"/>
      <c r="L91" s="18"/>
      <c r="M91" s="17"/>
      <c r="N91" s="17"/>
      <c r="O91" s="22" t="str">
        <f aca="false">IF(COUNTA(J91,K91,N91)=0,"",IF(COUNTA(J91,K91,N91)&lt;3,"Incomplete",IF(OR(K91="No",N91="No",J91&lt;Rules!$B$7,J91&gt;Rules!$B$8),"Not a fit",IF(AND(J91&gt;=Rules!$B$5,J91&lt;=Rules!$B$6,N91="Yes"),"Qualified","Maybe"))))</f>
        <v/>
      </c>
      <c r="P91" s="19"/>
      <c r="Q91" s="17"/>
      <c r="R91" s="17"/>
      <c r="S91" s="17"/>
      <c r="T91" s="17"/>
      <c r="U91" s="23"/>
      <c r="V91" s="17"/>
      <c r="W91" s="21"/>
      <c r="X91" s="18"/>
      <c r="Y91" s="18"/>
      <c r="Z91" s="24" t="str">
        <f aca="false">IF(I91="","",IFERROR(VLOOKUP(I91,Rules!$A$21:$B$30,2,FALSE()),""))</f>
        <v/>
      </c>
    </row>
    <row r="92" customFormat="false" ht="15" hidden="false" customHeight="false" outlineLevel="0" collapsed="false">
      <c r="A92" s="17" t="s">
        <v>190</v>
      </c>
      <c r="B92" s="17"/>
      <c r="C92" s="18"/>
      <c r="D92" s="18"/>
      <c r="E92" s="17"/>
      <c r="F92" s="18"/>
      <c r="G92" s="19"/>
      <c r="H92" s="20" t="str">
        <f aca="false">IF(AND(G92&lt;&gt;"",I92="Contacted"),G92+Rules!$B$17,"")</f>
        <v/>
      </c>
      <c r="I92" s="17"/>
      <c r="J92" s="21"/>
      <c r="K92" s="17"/>
      <c r="L92" s="18"/>
      <c r="M92" s="17"/>
      <c r="N92" s="17"/>
      <c r="O92" s="22" t="str">
        <f aca="false">IF(COUNTA(J92,K92,N92)=0,"",IF(COUNTA(J92,K92,N92)&lt;3,"Incomplete",IF(OR(K92="No",N92="No",J92&lt;Rules!$B$7,J92&gt;Rules!$B$8),"Not a fit",IF(AND(J92&gt;=Rules!$B$5,J92&lt;=Rules!$B$6,N92="Yes"),"Qualified","Maybe"))))</f>
        <v/>
      </c>
      <c r="P92" s="19"/>
      <c r="Q92" s="17"/>
      <c r="R92" s="17"/>
      <c r="S92" s="17"/>
      <c r="T92" s="17"/>
      <c r="U92" s="23"/>
      <c r="V92" s="17"/>
      <c r="W92" s="21"/>
      <c r="X92" s="18"/>
      <c r="Y92" s="18"/>
      <c r="Z92" s="24" t="str">
        <f aca="false">IF(I92="","",IFERROR(VLOOKUP(I92,Rules!$A$21:$B$30,2,FALSE()),""))</f>
        <v/>
      </c>
    </row>
    <row r="93" customFormat="false" ht="15" hidden="false" customHeight="false" outlineLevel="0" collapsed="false">
      <c r="A93" s="17" t="s">
        <v>191</v>
      </c>
      <c r="B93" s="17"/>
      <c r="C93" s="18"/>
      <c r="D93" s="18"/>
      <c r="E93" s="17"/>
      <c r="F93" s="18"/>
      <c r="G93" s="19"/>
      <c r="H93" s="20" t="str">
        <f aca="false">IF(AND(G93&lt;&gt;"",I93="Contacted"),G93+Rules!$B$17,"")</f>
        <v/>
      </c>
      <c r="I93" s="17"/>
      <c r="J93" s="21"/>
      <c r="K93" s="17"/>
      <c r="L93" s="18"/>
      <c r="M93" s="17"/>
      <c r="N93" s="17"/>
      <c r="O93" s="22" t="str">
        <f aca="false">IF(COUNTA(J93,K93,N93)=0,"",IF(COUNTA(J93,K93,N93)&lt;3,"Incomplete",IF(OR(K93="No",N93="No",J93&lt;Rules!$B$7,J93&gt;Rules!$B$8),"Not a fit",IF(AND(J93&gt;=Rules!$B$5,J93&lt;=Rules!$B$6,N93="Yes"),"Qualified","Maybe"))))</f>
        <v/>
      </c>
      <c r="P93" s="19"/>
      <c r="Q93" s="17"/>
      <c r="R93" s="17"/>
      <c r="S93" s="17"/>
      <c r="T93" s="17"/>
      <c r="U93" s="23"/>
      <c r="V93" s="17"/>
      <c r="W93" s="21"/>
      <c r="X93" s="18"/>
      <c r="Y93" s="18"/>
      <c r="Z93" s="24" t="str">
        <f aca="false">IF(I93="","",IFERROR(VLOOKUP(I93,Rules!$A$21:$B$30,2,FALSE()),""))</f>
        <v/>
      </c>
    </row>
    <row r="94" customFormat="false" ht="15" hidden="false" customHeight="false" outlineLevel="0" collapsed="false">
      <c r="A94" s="17" t="s">
        <v>192</v>
      </c>
      <c r="B94" s="17"/>
      <c r="C94" s="18"/>
      <c r="D94" s="18"/>
      <c r="E94" s="17"/>
      <c r="F94" s="18"/>
      <c r="G94" s="19"/>
      <c r="H94" s="20" t="str">
        <f aca="false">IF(AND(G94&lt;&gt;"",I94="Contacted"),G94+Rules!$B$17,"")</f>
        <v/>
      </c>
      <c r="I94" s="17"/>
      <c r="J94" s="21"/>
      <c r="K94" s="17"/>
      <c r="L94" s="18"/>
      <c r="M94" s="17"/>
      <c r="N94" s="17"/>
      <c r="O94" s="22" t="str">
        <f aca="false">IF(COUNTA(J94,K94,N94)=0,"",IF(COUNTA(J94,K94,N94)&lt;3,"Incomplete",IF(OR(K94="No",N94="No",J94&lt;Rules!$B$7,J94&gt;Rules!$B$8),"Not a fit",IF(AND(J94&gt;=Rules!$B$5,J94&lt;=Rules!$B$6,N94="Yes"),"Qualified","Maybe"))))</f>
        <v/>
      </c>
      <c r="P94" s="19"/>
      <c r="Q94" s="17"/>
      <c r="R94" s="17"/>
      <c r="S94" s="17"/>
      <c r="T94" s="17"/>
      <c r="U94" s="23"/>
      <c r="V94" s="17"/>
      <c r="W94" s="21"/>
      <c r="X94" s="18"/>
      <c r="Y94" s="18"/>
      <c r="Z94" s="24" t="str">
        <f aca="false">IF(I94="","",IFERROR(VLOOKUP(I94,Rules!$A$21:$B$30,2,FALSE()),""))</f>
        <v/>
      </c>
    </row>
    <row r="95" customFormat="false" ht="15" hidden="false" customHeight="false" outlineLevel="0" collapsed="false">
      <c r="A95" s="17" t="s">
        <v>193</v>
      </c>
      <c r="B95" s="17"/>
      <c r="C95" s="18"/>
      <c r="D95" s="18"/>
      <c r="E95" s="17"/>
      <c r="F95" s="18"/>
      <c r="G95" s="19"/>
      <c r="H95" s="20" t="str">
        <f aca="false">IF(AND(G95&lt;&gt;"",I95="Contacted"),G95+Rules!$B$17,"")</f>
        <v/>
      </c>
      <c r="I95" s="17"/>
      <c r="J95" s="21"/>
      <c r="K95" s="17"/>
      <c r="L95" s="18"/>
      <c r="M95" s="17"/>
      <c r="N95" s="17"/>
      <c r="O95" s="22" t="str">
        <f aca="false">IF(COUNTA(J95,K95,N95)=0,"",IF(COUNTA(J95,K95,N95)&lt;3,"Incomplete",IF(OR(K95="No",N95="No",J95&lt;Rules!$B$7,J95&gt;Rules!$B$8),"Not a fit",IF(AND(J95&gt;=Rules!$B$5,J95&lt;=Rules!$B$6,N95="Yes"),"Qualified","Maybe"))))</f>
        <v/>
      </c>
      <c r="P95" s="19"/>
      <c r="Q95" s="17"/>
      <c r="R95" s="17"/>
      <c r="S95" s="17"/>
      <c r="T95" s="17"/>
      <c r="U95" s="23"/>
      <c r="V95" s="17"/>
      <c r="W95" s="21"/>
      <c r="X95" s="18"/>
      <c r="Y95" s="18"/>
      <c r="Z95" s="24" t="str">
        <f aca="false">IF(I95="","",IFERROR(VLOOKUP(I95,Rules!$A$21:$B$30,2,FALSE()),""))</f>
        <v/>
      </c>
    </row>
    <row r="96" customFormat="false" ht="15" hidden="false" customHeight="false" outlineLevel="0" collapsed="false">
      <c r="A96" s="17" t="s">
        <v>194</v>
      </c>
      <c r="B96" s="17"/>
      <c r="C96" s="18"/>
      <c r="D96" s="18"/>
      <c r="E96" s="17"/>
      <c r="F96" s="18"/>
      <c r="G96" s="19"/>
      <c r="H96" s="20" t="str">
        <f aca="false">IF(AND(G96&lt;&gt;"",I96="Contacted"),G96+Rules!$B$17,"")</f>
        <v/>
      </c>
      <c r="I96" s="17"/>
      <c r="J96" s="21"/>
      <c r="K96" s="17"/>
      <c r="L96" s="18"/>
      <c r="M96" s="17"/>
      <c r="N96" s="17"/>
      <c r="O96" s="22" t="str">
        <f aca="false">IF(COUNTA(J96,K96,N96)=0,"",IF(COUNTA(J96,K96,N96)&lt;3,"Incomplete",IF(OR(K96="No",N96="No",J96&lt;Rules!$B$7,J96&gt;Rules!$B$8),"Not a fit",IF(AND(J96&gt;=Rules!$B$5,J96&lt;=Rules!$B$6,N96="Yes"),"Qualified","Maybe"))))</f>
        <v/>
      </c>
      <c r="P96" s="19"/>
      <c r="Q96" s="17"/>
      <c r="R96" s="17"/>
      <c r="S96" s="17"/>
      <c r="T96" s="17"/>
      <c r="U96" s="23"/>
      <c r="V96" s="17"/>
      <c r="W96" s="21"/>
      <c r="X96" s="18"/>
      <c r="Y96" s="18"/>
      <c r="Z96" s="24" t="str">
        <f aca="false">IF(I96="","",IFERROR(VLOOKUP(I96,Rules!$A$21:$B$30,2,FALSE()),""))</f>
        <v/>
      </c>
    </row>
    <row r="97" customFormat="false" ht="15" hidden="false" customHeight="false" outlineLevel="0" collapsed="false">
      <c r="A97" s="17" t="s">
        <v>195</v>
      </c>
      <c r="B97" s="17"/>
      <c r="C97" s="18"/>
      <c r="D97" s="18"/>
      <c r="E97" s="17"/>
      <c r="F97" s="18"/>
      <c r="G97" s="19"/>
      <c r="H97" s="20" t="str">
        <f aca="false">IF(AND(G97&lt;&gt;"",I97="Contacted"),G97+Rules!$B$17,"")</f>
        <v/>
      </c>
      <c r="I97" s="17"/>
      <c r="J97" s="21"/>
      <c r="K97" s="17"/>
      <c r="L97" s="18"/>
      <c r="M97" s="17"/>
      <c r="N97" s="17"/>
      <c r="O97" s="22" t="str">
        <f aca="false">IF(COUNTA(J97,K97,N97)=0,"",IF(COUNTA(J97,K97,N97)&lt;3,"Incomplete",IF(OR(K97="No",N97="No",J97&lt;Rules!$B$7,J97&gt;Rules!$B$8),"Not a fit",IF(AND(J97&gt;=Rules!$B$5,J97&lt;=Rules!$B$6,N97="Yes"),"Qualified","Maybe"))))</f>
        <v/>
      </c>
      <c r="P97" s="19"/>
      <c r="Q97" s="17"/>
      <c r="R97" s="17"/>
      <c r="S97" s="17"/>
      <c r="T97" s="17"/>
      <c r="U97" s="23"/>
      <c r="V97" s="17"/>
      <c r="W97" s="21"/>
      <c r="X97" s="18"/>
      <c r="Y97" s="18"/>
      <c r="Z97" s="24" t="str">
        <f aca="false">IF(I97="","",IFERROR(VLOOKUP(I97,Rules!$A$21:$B$30,2,FALSE()),""))</f>
        <v/>
      </c>
    </row>
    <row r="98" customFormat="false" ht="15" hidden="false" customHeight="false" outlineLevel="0" collapsed="false">
      <c r="A98" s="17" t="s">
        <v>196</v>
      </c>
      <c r="B98" s="17"/>
      <c r="C98" s="18"/>
      <c r="D98" s="18"/>
      <c r="E98" s="17"/>
      <c r="F98" s="18"/>
      <c r="G98" s="19"/>
      <c r="H98" s="20" t="str">
        <f aca="false">IF(AND(G98&lt;&gt;"",I98="Contacted"),G98+Rules!$B$17,"")</f>
        <v/>
      </c>
      <c r="I98" s="17"/>
      <c r="J98" s="21"/>
      <c r="K98" s="17"/>
      <c r="L98" s="18"/>
      <c r="M98" s="17"/>
      <c r="N98" s="17"/>
      <c r="O98" s="22" t="str">
        <f aca="false">IF(COUNTA(J98,K98,N98)=0,"",IF(COUNTA(J98,K98,N98)&lt;3,"Incomplete",IF(OR(K98="No",N98="No",J98&lt;Rules!$B$7,J98&gt;Rules!$B$8),"Not a fit",IF(AND(J98&gt;=Rules!$B$5,J98&lt;=Rules!$B$6,N98="Yes"),"Qualified","Maybe"))))</f>
        <v/>
      </c>
      <c r="P98" s="19"/>
      <c r="Q98" s="17"/>
      <c r="R98" s="17"/>
      <c r="S98" s="17"/>
      <c r="T98" s="17"/>
      <c r="U98" s="23"/>
      <c r="V98" s="17"/>
      <c r="W98" s="21"/>
      <c r="X98" s="18"/>
      <c r="Y98" s="18"/>
      <c r="Z98" s="24" t="str">
        <f aca="false">IF(I98="","",IFERROR(VLOOKUP(I98,Rules!$A$21:$B$30,2,FALSE()),""))</f>
        <v/>
      </c>
    </row>
    <row r="99" customFormat="false" ht="15" hidden="false" customHeight="false" outlineLevel="0" collapsed="false">
      <c r="A99" s="17" t="s">
        <v>197</v>
      </c>
      <c r="B99" s="17"/>
      <c r="C99" s="18"/>
      <c r="D99" s="18"/>
      <c r="E99" s="17"/>
      <c r="F99" s="18"/>
      <c r="G99" s="19"/>
      <c r="H99" s="20" t="str">
        <f aca="false">IF(AND(G99&lt;&gt;"",I99="Contacted"),G99+Rules!$B$17,"")</f>
        <v/>
      </c>
      <c r="I99" s="17"/>
      <c r="J99" s="21"/>
      <c r="K99" s="17"/>
      <c r="L99" s="18"/>
      <c r="M99" s="17"/>
      <c r="N99" s="17"/>
      <c r="O99" s="22" t="str">
        <f aca="false">IF(COUNTA(J99,K99,N99)=0,"",IF(COUNTA(J99,K99,N99)&lt;3,"Incomplete",IF(OR(K99="No",N99="No",J99&lt;Rules!$B$7,J99&gt;Rules!$B$8),"Not a fit",IF(AND(J99&gt;=Rules!$B$5,J99&lt;=Rules!$B$6,N99="Yes"),"Qualified","Maybe"))))</f>
        <v/>
      </c>
      <c r="P99" s="19"/>
      <c r="Q99" s="17"/>
      <c r="R99" s="17"/>
      <c r="S99" s="17"/>
      <c r="T99" s="17"/>
      <c r="U99" s="23"/>
      <c r="V99" s="17"/>
      <c r="W99" s="21"/>
      <c r="X99" s="18"/>
      <c r="Y99" s="18"/>
      <c r="Z99" s="24" t="str">
        <f aca="false">IF(I99="","",IFERROR(VLOOKUP(I99,Rules!$A$21:$B$30,2,FALSE()),""))</f>
        <v/>
      </c>
    </row>
    <row r="100" customFormat="false" ht="15" hidden="false" customHeight="false" outlineLevel="0" collapsed="false">
      <c r="A100" s="17" t="s">
        <v>198</v>
      </c>
      <c r="B100" s="17"/>
      <c r="C100" s="18"/>
      <c r="D100" s="18"/>
      <c r="E100" s="17"/>
      <c r="F100" s="18"/>
      <c r="G100" s="19"/>
      <c r="H100" s="20" t="str">
        <f aca="false">IF(AND(G100&lt;&gt;"",I100="Contacted"),G100+Rules!$B$17,"")</f>
        <v/>
      </c>
      <c r="I100" s="17"/>
      <c r="J100" s="21"/>
      <c r="K100" s="17"/>
      <c r="L100" s="18"/>
      <c r="M100" s="17"/>
      <c r="N100" s="17"/>
      <c r="O100" s="22" t="str">
        <f aca="false">IF(COUNTA(J100,K100,N100)=0,"",IF(COUNTA(J100,K100,N100)&lt;3,"Incomplete",IF(OR(K100="No",N100="No",J100&lt;Rules!$B$7,J100&gt;Rules!$B$8),"Not a fit",IF(AND(J100&gt;=Rules!$B$5,J100&lt;=Rules!$B$6,N100="Yes"),"Qualified","Maybe"))))</f>
        <v/>
      </c>
      <c r="P100" s="19"/>
      <c r="Q100" s="17"/>
      <c r="R100" s="17"/>
      <c r="S100" s="17"/>
      <c r="T100" s="17"/>
      <c r="U100" s="23"/>
      <c r="V100" s="17"/>
      <c r="W100" s="21"/>
      <c r="X100" s="18"/>
      <c r="Y100" s="18"/>
      <c r="Z100" s="24" t="str">
        <f aca="false">IF(I100="","",IFERROR(VLOOKUP(I100,Rules!$A$21:$B$30,2,FALSE()),""))</f>
        <v/>
      </c>
    </row>
    <row r="101" customFormat="false" ht="15" hidden="false" customHeight="false" outlineLevel="0" collapsed="false">
      <c r="A101" s="17" t="s">
        <v>199</v>
      </c>
      <c r="B101" s="17"/>
      <c r="C101" s="18"/>
      <c r="D101" s="18"/>
      <c r="E101" s="17"/>
      <c r="F101" s="18"/>
      <c r="G101" s="19"/>
      <c r="H101" s="20" t="str">
        <f aca="false">IF(AND(G101&lt;&gt;"",I101="Contacted"),G101+Rules!$B$17,"")</f>
        <v/>
      </c>
      <c r="I101" s="17"/>
      <c r="J101" s="21"/>
      <c r="K101" s="17"/>
      <c r="L101" s="18"/>
      <c r="M101" s="17"/>
      <c r="N101" s="17"/>
      <c r="O101" s="22" t="str">
        <f aca="false">IF(COUNTA(J101,K101,N101)=0,"",IF(COUNTA(J101,K101,N101)&lt;3,"Incomplete",IF(OR(K101="No",N101="No",J101&lt;Rules!$B$7,J101&gt;Rules!$B$8),"Not a fit",IF(AND(J101&gt;=Rules!$B$5,J101&lt;=Rules!$B$6,N101="Yes"),"Qualified","Maybe"))))</f>
        <v/>
      </c>
      <c r="P101" s="19"/>
      <c r="Q101" s="17"/>
      <c r="R101" s="17"/>
      <c r="S101" s="17"/>
      <c r="T101" s="17"/>
      <c r="U101" s="23"/>
      <c r="V101" s="17"/>
      <c r="W101" s="21"/>
      <c r="X101" s="18"/>
      <c r="Y101" s="18"/>
      <c r="Z101" s="24" t="str">
        <f aca="false">IF(I101="","",IFERROR(VLOOKUP(I101,Rules!$A$21:$B$30,2,FALSE()),""))</f>
        <v/>
      </c>
    </row>
    <row r="102" customFormat="false" ht="15" hidden="false" customHeight="false" outlineLevel="0" collapsed="false">
      <c r="A102" s="17" t="s">
        <v>200</v>
      </c>
      <c r="B102" s="17"/>
      <c r="C102" s="18"/>
      <c r="D102" s="18"/>
      <c r="E102" s="17"/>
      <c r="F102" s="18"/>
      <c r="G102" s="19"/>
      <c r="H102" s="20" t="str">
        <f aca="false">IF(AND(G102&lt;&gt;"",I102="Contacted"),G102+Rules!$B$17,"")</f>
        <v/>
      </c>
      <c r="I102" s="17"/>
      <c r="J102" s="21"/>
      <c r="K102" s="17"/>
      <c r="L102" s="18"/>
      <c r="M102" s="17"/>
      <c r="N102" s="17"/>
      <c r="O102" s="22" t="str">
        <f aca="false">IF(COUNTA(J102,K102,N102)=0,"",IF(COUNTA(J102,K102,N102)&lt;3,"Incomplete",IF(OR(K102="No",N102="No",J102&lt;Rules!$B$7,J102&gt;Rules!$B$8),"Not a fit",IF(AND(J102&gt;=Rules!$B$5,J102&lt;=Rules!$B$6,N102="Yes"),"Qualified","Maybe"))))</f>
        <v/>
      </c>
      <c r="P102" s="19"/>
      <c r="Q102" s="17"/>
      <c r="R102" s="17"/>
      <c r="S102" s="17"/>
      <c r="T102" s="17"/>
      <c r="U102" s="23"/>
      <c r="V102" s="17"/>
      <c r="W102" s="21"/>
      <c r="X102" s="18"/>
      <c r="Y102" s="18"/>
      <c r="Z102" s="24" t="str">
        <f aca="false">IF(I102="","",IFERROR(VLOOKUP(I102,Rules!$A$21:$B$30,2,FALSE()),""))</f>
        <v/>
      </c>
    </row>
    <row r="103" customFormat="false" ht="15" hidden="false" customHeight="false" outlineLevel="0" collapsed="false">
      <c r="A103" s="17" t="s">
        <v>201</v>
      </c>
      <c r="B103" s="17"/>
      <c r="C103" s="18"/>
      <c r="D103" s="18"/>
      <c r="E103" s="17"/>
      <c r="F103" s="18"/>
      <c r="G103" s="19"/>
      <c r="H103" s="20" t="str">
        <f aca="false">IF(AND(G103&lt;&gt;"",I103="Contacted"),G103+Rules!$B$17,"")</f>
        <v/>
      </c>
      <c r="I103" s="17"/>
      <c r="J103" s="21"/>
      <c r="K103" s="17"/>
      <c r="L103" s="18"/>
      <c r="M103" s="17"/>
      <c r="N103" s="17"/>
      <c r="O103" s="22" t="str">
        <f aca="false">IF(COUNTA(J103,K103,N103)=0,"",IF(COUNTA(J103,K103,N103)&lt;3,"Incomplete",IF(OR(K103="No",N103="No",J103&lt;Rules!$B$7,J103&gt;Rules!$B$8),"Not a fit",IF(AND(J103&gt;=Rules!$B$5,J103&lt;=Rules!$B$6,N103="Yes"),"Qualified","Maybe"))))</f>
        <v/>
      </c>
      <c r="P103" s="19"/>
      <c r="Q103" s="17"/>
      <c r="R103" s="17"/>
      <c r="S103" s="17"/>
      <c r="T103" s="17"/>
      <c r="U103" s="23"/>
      <c r="V103" s="17"/>
      <c r="W103" s="21"/>
      <c r="X103" s="18"/>
      <c r="Y103" s="18"/>
      <c r="Z103" s="24" t="str">
        <f aca="false">IF(I103="","",IFERROR(VLOOKUP(I103,Rules!$A$21:$B$30,2,FALSE()),""))</f>
        <v/>
      </c>
    </row>
    <row r="104" customFormat="false" ht="15" hidden="false" customHeight="false" outlineLevel="0" collapsed="false">
      <c r="A104" s="17" t="s">
        <v>202</v>
      </c>
      <c r="B104" s="17"/>
      <c r="C104" s="18"/>
      <c r="D104" s="18"/>
      <c r="E104" s="17"/>
      <c r="F104" s="18"/>
      <c r="G104" s="19"/>
      <c r="H104" s="20" t="str">
        <f aca="false">IF(AND(G104&lt;&gt;"",I104="Contacted"),G104+Rules!$B$17,"")</f>
        <v/>
      </c>
      <c r="I104" s="17"/>
      <c r="J104" s="21"/>
      <c r="K104" s="17"/>
      <c r="L104" s="18"/>
      <c r="M104" s="17"/>
      <c r="N104" s="17"/>
      <c r="O104" s="22" t="str">
        <f aca="false">IF(COUNTA(J104,K104,N104)=0,"",IF(COUNTA(J104,K104,N104)&lt;3,"Incomplete",IF(OR(K104="No",N104="No",J104&lt;Rules!$B$7,J104&gt;Rules!$B$8),"Not a fit",IF(AND(J104&gt;=Rules!$B$5,J104&lt;=Rules!$B$6,N104="Yes"),"Qualified","Maybe"))))</f>
        <v/>
      </c>
      <c r="P104" s="19"/>
      <c r="Q104" s="17"/>
      <c r="R104" s="17"/>
      <c r="S104" s="17"/>
      <c r="T104" s="17"/>
      <c r="U104" s="23"/>
      <c r="V104" s="17"/>
      <c r="W104" s="21"/>
      <c r="X104" s="18"/>
      <c r="Y104" s="18"/>
      <c r="Z104" s="24" t="str">
        <f aca="false">IF(I104="","",IFERROR(VLOOKUP(I104,Rules!$A$21:$B$30,2,FALSE()),""))</f>
        <v/>
      </c>
    </row>
    <row r="105" customFormat="false" ht="15" hidden="false" customHeight="false" outlineLevel="0" collapsed="false">
      <c r="A105" s="17" t="s">
        <v>203</v>
      </c>
      <c r="B105" s="17"/>
      <c r="C105" s="18"/>
      <c r="D105" s="18"/>
      <c r="E105" s="17"/>
      <c r="F105" s="18"/>
      <c r="G105" s="19"/>
      <c r="H105" s="20" t="str">
        <f aca="false">IF(AND(G105&lt;&gt;"",I105="Contacted"),G105+Rules!$B$17,"")</f>
        <v/>
      </c>
      <c r="I105" s="17"/>
      <c r="J105" s="21"/>
      <c r="K105" s="17"/>
      <c r="L105" s="18"/>
      <c r="M105" s="17"/>
      <c r="N105" s="17"/>
      <c r="O105" s="22" t="str">
        <f aca="false">IF(COUNTA(J105,K105,N105)=0,"",IF(COUNTA(J105,K105,N105)&lt;3,"Incomplete",IF(OR(K105="No",N105="No",J105&lt;Rules!$B$7,J105&gt;Rules!$B$8),"Not a fit",IF(AND(J105&gt;=Rules!$B$5,J105&lt;=Rules!$B$6,N105="Yes"),"Qualified","Maybe"))))</f>
        <v/>
      </c>
      <c r="P105" s="19"/>
      <c r="Q105" s="17"/>
      <c r="R105" s="17"/>
      <c r="S105" s="17"/>
      <c r="T105" s="17"/>
      <c r="U105" s="23"/>
      <c r="V105" s="17"/>
      <c r="W105" s="21"/>
      <c r="X105" s="18"/>
      <c r="Y105" s="18"/>
      <c r="Z105" s="24" t="str">
        <f aca="false">IF(I105="","",IFERROR(VLOOKUP(I105,Rules!$A$21:$B$30,2,FALSE()),""))</f>
        <v/>
      </c>
    </row>
    <row r="106" customFormat="false" ht="15" hidden="false" customHeight="false" outlineLevel="0" collapsed="false">
      <c r="A106" s="17" t="s">
        <v>204</v>
      </c>
      <c r="B106" s="17"/>
      <c r="C106" s="18"/>
      <c r="D106" s="18"/>
      <c r="E106" s="17"/>
      <c r="F106" s="18"/>
      <c r="G106" s="19"/>
      <c r="H106" s="20" t="str">
        <f aca="false">IF(AND(G106&lt;&gt;"",I106="Contacted"),G106+Rules!$B$17,"")</f>
        <v/>
      </c>
      <c r="I106" s="17"/>
      <c r="J106" s="21"/>
      <c r="K106" s="17"/>
      <c r="L106" s="18"/>
      <c r="M106" s="17"/>
      <c r="N106" s="17"/>
      <c r="O106" s="22" t="str">
        <f aca="false">IF(COUNTA(J106,K106,N106)=0,"",IF(COUNTA(J106,K106,N106)&lt;3,"Incomplete",IF(OR(K106="No",N106="No",J106&lt;Rules!$B$7,J106&gt;Rules!$B$8),"Not a fit",IF(AND(J106&gt;=Rules!$B$5,J106&lt;=Rules!$B$6,N106="Yes"),"Qualified","Maybe"))))</f>
        <v/>
      </c>
      <c r="P106" s="19"/>
      <c r="Q106" s="17"/>
      <c r="R106" s="17"/>
      <c r="S106" s="17"/>
      <c r="T106" s="17"/>
      <c r="U106" s="23"/>
      <c r="V106" s="17"/>
      <c r="W106" s="21"/>
      <c r="X106" s="18"/>
      <c r="Y106" s="18"/>
      <c r="Z106" s="24" t="str">
        <f aca="false">IF(I106="","",IFERROR(VLOOKUP(I106,Rules!$A$21:$B$30,2,FALSE()),""))</f>
        <v/>
      </c>
    </row>
    <row r="107" customFormat="false" ht="15" hidden="false" customHeight="false" outlineLevel="0" collapsed="false">
      <c r="A107" s="17" t="s">
        <v>205</v>
      </c>
      <c r="B107" s="17"/>
      <c r="C107" s="18"/>
      <c r="D107" s="18"/>
      <c r="E107" s="17"/>
      <c r="F107" s="18"/>
      <c r="G107" s="19"/>
      <c r="H107" s="20" t="str">
        <f aca="false">IF(AND(G107&lt;&gt;"",I107="Contacted"),G107+Rules!$B$17,"")</f>
        <v/>
      </c>
      <c r="I107" s="17"/>
      <c r="J107" s="21"/>
      <c r="K107" s="17"/>
      <c r="L107" s="18"/>
      <c r="M107" s="17"/>
      <c r="N107" s="17"/>
      <c r="O107" s="22" t="str">
        <f aca="false">IF(COUNTA(J107,K107,N107)=0,"",IF(COUNTA(J107,K107,N107)&lt;3,"Incomplete",IF(OR(K107="No",N107="No",J107&lt;Rules!$B$7,J107&gt;Rules!$B$8),"Not a fit",IF(AND(J107&gt;=Rules!$B$5,J107&lt;=Rules!$B$6,N107="Yes"),"Qualified","Maybe"))))</f>
        <v/>
      </c>
      <c r="P107" s="19"/>
      <c r="Q107" s="17"/>
      <c r="R107" s="17"/>
      <c r="S107" s="17"/>
      <c r="T107" s="17"/>
      <c r="U107" s="23"/>
      <c r="V107" s="17"/>
      <c r="W107" s="21"/>
      <c r="X107" s="18"/>
      <c r="Y107" s="18"/>
      <c r="Z107" s="24" t="str">
        <f aca="false">IF(I107="","",IFERROR(VLOOKUP(I107,Rules!$A$21:$B$30,2,FALSE()),""))</f>
        <v/>
      </c>
    </row>
    <row r="108" customFormat="false" ht="15" hidden="false" customHeight="false" outlineLevel="0" collapsed="false">
      <c r="A108" s="17" t="s">
        <v>206</v>
      </c>
      <c r="B108" s="17"/>
      <c r="C108" s="18"/>
      <c r="D108" s="18"/>
      <c r="E108" s="17"/>
      <c r="F108" s="18"/>
      <c r="G108" s="19"/>
      <c r="H108" s="20" t="str">
        <f aca="false">IF(AND(G108&lt;&gt;"",I108="Contacted"),G108+Rules!$B$17,"")</f>
        <v/>
      </c>
      <c r="I108" s="17"/>
      <c r="J108" s="21"/>
      <c r="K108" s="17"/>
      <c r="L108" s="18"/>
      <c r="M108" s="17"/>
      <c r="N108" s="17"/>
      <c r="O108" s="22" t="str">
        <f aca="false">IF(COUNTA(J108,K108,N108)=0,"",IF(COUNTA(J108,K108,N108)&lt;3,"Incomplete",IF(OR(K108="No",N108="No",J108&lt;Rules!$B$7,J108&gt;Rules!$B$8),"Not a fit",IF(AND(J108&gt;=Rules!$B$5,J108&lt;=Rules!$B$6,N108="Yes"),"Qualified","Maybe"))))</f>
        <v/>
      </c>
      <c r="P108" s="19"/>
      <c r="Q108" s="17"/>
      <c r="R108" s="17"/>
      <c r="S108" s="17"/>
      <c r="T108" s="17"/>
      <c r="U108" s="23"/>
      <c r="V108" s="17"/>
      <c r="W108" s="21"/>
      <c r="X108" s="18"/>
      <c r="Y108" s="18"/>
      <c r="Z108" s="24" t="str">
        <f aca="false">IF(I108="","",IFERROR(VLOOKUP(I108,Rules!$A$21:$B$30,2,FALSE()),""))</f>
        <v/>
      </c>
    </row>
    <row r="109" customFormat="false" ht="15" hidden="false" customHeight="false" outlineLevel="0" collapsed="false">
      <c r="A109" s="17" t="s">
        <v>207</v>
      </c>
      <c r="B109" s="17"/>
      <c r="C109" s="18"/>
      <c r="D109" s="18"/>
      <c r="E109" s="17"/>
      <c r="F109" s="18"/>
      <c r="G109" s="19"/>
      <c r="H109" s="20" t="str">
        <f aca="false">IF(AND(G109&lt;&gt;"",I109="Contacted"),G109+Rules!$B$17,"")</f>
        <v/>
      </c>
      <c r="I109" s="17"/>
      <c r="J109" s="21"/>
      <c r="K109" s="17"/>
      <c r="L109" s="18"/>
      <c r="M109" s="17"/>
      <c r="N109" s="17"/>
      <c r="O109" s="22" t="str">
        <f aca="false">IF(COUNTA(J109,K109,N109)=0,"",IF(COUNTA(J109,K109,N109)&lt;3,"Incomplete",IF(OR(K109="No",N109="No",J109&lt;Rules!$B$7,J109&gt;Rules!$B$8),"Not a fit",IF(AND(J109&gt;=Rules!$B$5,J109&lt;=Rules!$B$6,N109="Yes"),"Qualified","Maybe"))))</f>
        <v/>
      </c>
      <c r="P109" s="19"/>
      <c r="Q109" s="17"/>
      <c r="R109" s="17"/>
      <c r="S109" s="17"/>
      <c r="T109" s="17"/>
      <c r="U109" s="23"/>
      <c r="V109" s="17"/>
      <c r="W109" s="21"/>
      <c r="X109" s="18"/>
      <c r="Y109" s="18"/>
      <c r="Z109" s="24" t="str">
        <f aca="false">IF(I109="","",IFERROR(VLOOKUP(I109,Rules!$A$21:$B$30,2,FALSE()),""))</f>
        <v/>
      </c>
    </row>
    <row r="110" customFormat="false" ht="15" hidden="false" customHeight="false" outlineLevel="0" collapsed="false">
      <c r="A110" s="17" t="s">
        <v>208</v>
      </c>
      <c r="B110" s="17"/>
      <c r="C110" s="18"/>
      <c r="D110" s="18"/>
      <c r="E110" s="17"/>
      <c r="F110" s="18"/>
      <c r="G110" s="19"/>
      <c r="H110" s="20" t="str">
        <f aca="false">IF(AND(G110&lt;&gt;"",I110="Contacted"),G110+Rules!$B$17,"")</f>
        <v/>
      </c>
      <c r="I110" s="17"/>
      <c r="J110" s="21"/>
      <c r="K110" s="17"/>
      <c r="L110" s="18"/>
      <c r="M110" s="17"/>
      <c r="N110" s="17"/>
      <c r="O110" s="22" t="str">
        <f aca="false">IF(COUNTA(J110,K110,N110)=0,"",IF(COUNTA(J110,K110,N110)&lt;3,"Incomplete",IF(OR(K110="No",N110="No",J110&lt;Rules!$B$7,J110&gt;Rules!$B$8),"Not a fit",IF(AND(J110&gt;=Rules!$B$5,J110&lt;=Rules!$B$6,N110="Yes"),"Qualified","Maybe"))))</f>
        <v/>
      </c>
      <c r="P110" s="19"/>
      <c r="Q110" s="17"/>
      <c r="R110" s="17"/>
      <c r="S110" s="17"/>
      <c r="T110" s="17"/>
      <c r="U110" s="23"/>
      <c r="V110" s="17"/>
      <c r="W110" s="21"/>
      <c r="X110" s="18"/>
      <c r="Y110" s="18"/>
      <c r="Z110" s="24" t="str">
        <f aca="false">IF(I110="","",IFERROR(VLOOKUP(I110,Rules!$A$21:$B$30,2,FALSE()),""))</f>
        <v/>
      </c>
    </row>
    <row r="111" customFormat="false" ht="15" hidden="false" customHeight="false" outlineLevel="0" collapsed="false">
      <c r="A111" s="17" t="s">
        <v>209</v>
      </c>
      <c r="B111" s="17"/>
      <c r="C111" s="18"/>
      <c r="D111" s="18"/>
      <c r="E111" s="17"/>
      <c r="F111" s="18"/>
      <c r="G111" s="19"/>
      <c r="H111" s="20" t="str">
        <f aca="false">IF(AND(G111&lt;&gt;"",I111="Contacted"),G111+Rules!$B$17,"")</f>
        <v/>
      </c>
      <c r="I111" s="17"/>
      <c r="J111" s="21"/>
      <c r="K111" s="17"/>
      <c r="L111" s="18"/>
      <c r="M111" s="17"/>
      <c r="N111" s="17"/>
      <c r="O111" s="22" t="str">
        <f aca="false">IF(COUNTA(J111,K111,N111)=0,"",IF(COUNTA(J111,K111,N111)&lt;3,"Incomplete",IF(OR(K111="No",N111="No",J111&lt;Rules!$B$7,J111&gt;Rules!$B$8),"Not a fit",IF(AND(J111&gt;=Rules!$B$5,J111&lt;=Rules!$B$6,N111="Yes"),"Qualified","Maybe"))))</f>
        <v/>
      </c>
      <c r="P111" s="19"/>
      <c r="Q111" s="17"/>
      <c r="R111" s="17"/>
      <c r="S111" s="17"/>
      <c r="T111" s="17"/>
      <c r="U111" s="23"/>
      <c r="V111" s="17"/>
      <c r="W111" s="21"/>
      <c r="X111" s="18"/>
      <c r="Y111" s="18"/>
      <c r="Z111" s="24" t="str">
        <f aca="false">IF(I111="","",IFERROR(VLOOKUP(I111,Rules!$A$21:$B$30,2,FALSE()),""))</f>
        <v/>
      </c>
    </row>
    <row r="112" customFormat="false" ht="15" hidden="false" customHeight="false" outlineLevel="0" collapsed="false">
      <c r="A112" s="17" t="s">
        <v>210</v>
      </c>
      <c r="B112" s="17"/>
      <c r="C112" s="18"/>
      <c r="D112" s="18"/>
      <c r="E112" s="17"/>
      <c r="F112" s="18"/>
      <c r="G112" s="19"/>
      <c r="H112" s="20" t="str">
        <f aca="false">IF(AND(G112&lt;&gt;"",I112="Contacted"),G112+Rules!$B$17,"")</f>
        <v/>
      </c>
      <c r="I112" s="17"/>
      <c r="J112" s="21"/>
      <c r="K112" s="17"/>
      <c r="L112" s="18"/>
      <c r="M112" s="17"/>
      <c r="N112" s="17"/>
      <c r="O112" s="22" t="str">
        <f aca="false">IF(COUNTA(J112,K112,N112)=0,"",IF(COUNTA(J112,K112,N112)&lt;3,"Incomplete",IF(OR(K112="No",N112="No",J112&lt;Rules!$B$7,J112&gt;Rules!$B$8),"Not a fit",IF(AND(J112&gt;=Rules!$B$5,J112&lt;=Rules!$B$6,N112="Yes"),"Qualified","Maybe"))))</f>
        <v/>
      </c>
      <c r="P112" s="19"/>
      <c r="Q112" s="17"/>
      <c r="R112" s="17"/>
      <c r="S112" s="17"/>
      <c r="T112" s="17"/>
      <c r="U112" s="23"/>
      <c r="V112" s="17"/>
      <c r="W112" s="21"/>
      <c r="X112" s="18"/>
      <c r="Y112" s="18"/>
      <c r="Z112" s="24" t="str">
        <f aca="false">IF(I112="","",IFERROR(VLOOKUP(I112,Rules!$A$21:$B$30,2,FALSE()),""))</f>
        <v/>
      </c>
    </row>
    <row r="113" customFormat="false" ht="15" hidden="false" customHeight="false" outlineLevel="0" collapsed="false">
      <c r="A113" s="17" t="s">
        <v>211</v>
      </c>
      <c r="B113" s="17"/>
      <c r="C113" s="18"/>
      <c r="D113" s="18"/>
      <c r="E113" s="17"/>
      <c r="F113" s="18"/>
      <c r="G113" s="19"/>
      <c r="H113" s="20" t="str">
        <f aca="false">IF(AND(G113&lt;&gt;"",I113="Contacted"),G113+Rules!$B$17,"")</f>
        <v/>
      </c>
      <c r="I113" s="17"/>
      <c r="J113" s="21"/>
      <c r="K113" s="17"/>
      <c r="L113" s="18"/>
      <c r="M113" s="17"/>
      <c r="N113" s="17"/>
      <c r="O113" s="22" t="str">
        <f aca="false">IF(COUNTA(J113,K113,N113)=0,"",IF(COUNTA(J113,K113,N113)&lt;3,"Incomplete",IF(OR(K113="No",N113="No",J113&lt;Rules!$B$7,J113&gt;Rules!$B$8),"Not a fit",IF(AND(J113&gt;=Rules!$B$5,J113&lt;=Rules!$B$6,N113="Yes"),"Qualified","Maybe"))))</f>
        <v/>
      </c>
      <c r="P113" s="19"/>
      <c r="Q113" s="17"/>
      <c r="R113" s="17"/>
      <c r="S113" s="17"/>
      <c r="T113" s="17"/>
      <c r="U113" s="23"/>
      <c r="V113" s="17"/>
      <c r="W113" s="21"/>
      <c r="X113" s="18"/>
      <c r="Y113" s="18"/>
      <c r="Z113" s="24" t="str">
        <f aca="false">IF(I113="","",IFERROR(VLOOKUP(I113,Rules!$A$21:$B$30,2,FALSE()),""))</f>
        <v/>
      </c>
    </row>
    <row r="114" customFormat="false" ht="15" hidden="false" customHeight="false" outlineLevel="0" collapsed="false">
      <c r="A114" s="17" t="s">
        <v>212</v>
      </c>
      <c r="B114" s="17"/>
      <c r="C114" s="18"/>
      <c r="D114" s="18"/>
      <c r="E114" s="17"/>
      <c r="F114" s="18"/>
      <c r="G114" s="19"/>
      <c r="H114" s="20" t="str">
        <f aca="false">IF(AND(G114&lt;&gt;"",I114="Contacted"),G114+Rules!$B$17,"")</f>
        <v/>
      </c>
      <c r="I114" s="17"/>
      <c r="J114" s="21"/>
      <c r="K114" s="17"/>
      <c r="L114" s="18"/>
      <c r="M114" s="17"/>
      <c r="N114" s="17"/>
      <c r="O114" s="22" t="str">
        <f aca="false">IF(COUNTA(J114,K114,N114)=0,"",IF(COUNTA(J114,K114,N114)&lt;3,"Incomplete",IF(OR(K114="No",N114="No",J114&lt;Rules!$B$7,J114&gt;Rules!$B$8),"Not a fit",IF(AND(J114&gt;=Rules!$B$5,J114&lt;=Rules!$B$6,N114="Yes"),"Qualified","Maybe"))))</f>
        <v/>
      </c>
      <c r="P114" s="19"/>
      <c r="Q114" s="17"/>
      <c r="R114" s="17"/>
      <c r="S114" s="17"/>
      <c r="T114" s="17"/>
      <c r="U114" s="23"/>
      <c r="V114" s="17"/>
      <c r="W114" s="21"/>
      <c r="X114" s="18"/>
      <c r="Y114" s="18"/>
      <c r="Z114" s="24" t="str">
        <f aca="false">IF(I114="","",IFERROR(VLOOKUP(I114,Rules!$A$21:$B$30,2,FALSE()),""))</f>
        <v/>
      </c>
    </row>
    <row r="115" customFormat="false" ht="15" hidden="false" customHeight="false" outlineLevel="0" collapsed="false">
      <c r="A115" s="17" t="s">
        <v>213</v>
      </c>
      <c r="B115" s="17"/>
      <c r="C115" s="18"/>
      <c r="D115" s="18"/>
      <c r="E115" s="17"/>
      <c r="F115" s="18"/>
      <c r="G115" s="19"/>
      <c r="H115" s="20" t="str">
        <f aca="false">IF(AND(G115&lt;&gt;"",I115="Contacted"),G115+Rules!$B$17,"")</f>
        <v/>
      </c>
      <c r="I115" s="17"/>
      <c r="J115" s="21"/>
      <c r="K115" s="17"/>
      <c r="L115" s="18"/>
      <c r="M115" s="17"/>
      <c r="N115" s="17"/>
      <c r="O115" s="22" t="str">
        <f aca="false">IF(COUNTA(J115,K115,N115)=0,"",IF(COUNTA(J115,K115,N115)&lt;3,"Incomplete",IF(OR(K115="No",N115="No",J115&lt;Rules!$B$7,J115&gt;Rules!$B$8),"Not a fit",IF(AND(J115&gt;=Rules!$B$5,J115&lt;=Rules!$B$6,N115="Yes"),"Qualified","Maybe"))))</f>
        <v/>
      </c>
      <c r="P115" s="19"/>
      <c r="Q115" s="17"/>
      <c r="R115" s="17"/>
      <c r="S115" s="17"/>
      <c r="T115" s="17"/>
      <c r="U115" s="23"/>
      <c r="V115" s="17"/>
      <c r="W115" s="21"/>
      <c r="X115" s="18"/>
      <c r="Y115" s="18"/>
      <c r="Z115" s="24" t="str">
        <f aca="false">IF(I115="","",IFERROR(VLOOKUP(I115,Rules!$A$21:$B$30,2,FALSE()),""))</f>
        <v/>
      </c>
    </row>
    <row r="116" customFormat="false" ht="15" hidden="false" customHeight="false" outlineLevel="0" collapsed="false">
      <c r="A116" s="17" t="s">
        <v>214</v>
      </c>
      <c r="B116" s="17"/>
      <c r="C116" s="18"/>
      <c r="D116" s="18"/>
      <c r="E116" s="17"/>
      <c r="F116" s="18"/>
      <c r="G116" s="19"/>
      <c r="H116" s="20" t="str">
        <f aca="false">IF(AND(G116&lt;&gt;"",I116="Contacted"),G116+Rules!$B$17,"")</f>
        <v/>
      </c>
      <c r="I116" s="17"/>
      <c r="J116" s="21"/>
      <c r="K116" s="17"/>
      <c r="L116" s="18"/>
      <c r="M116" s="17"/>
      <c r="N116" s="17"/>
      <c r="O116" s="22" t="str">
        <f aca="false">IF(COUNTA(J116,K116,N116)=0,"",IF(COUNTA(J116,K116,N116)&lt;3,"Incomplete",IF(OR(K116="No",N116="No",J116&lt;Rules!$B$7,J116&gt;Rules!$B$8),"Not a fit",IF(AND(J116&gt;=Rules!$B$5,J116&lt;=Rules!$B$6,N116="Yes"),"Qualified","Maybe"))))</f>
        <v/>
      </c>
      <c r="P116" s="19"/>
      <c r="Q116" s="17"/>
      <c r="R116" s="17"/>
      <c r="S116" s="17"/>
      <c r="T116" s="17"/>
      <c r="U116" s="23"/>
      <c r="V116" s="17"/>
      <c r="W116" s="21"/>
      <c r="X116" s="18"/>
      <c r="Y116" s="18"/>
      <c r="Z116" s="24" t="str">
        <f aca="false">IF(I116="","",IFERROR(VLOOKUP(I116,Rules!$A$21:$B$30,2,FALSE()),""))</f>
        <v/>
      </c>
    </row>
    <row r="117" customFormat="false" ht="15" hidden="false" customHeight="false" outlineLevel="0" collapsed="false">
      <c r="A117" s="17" t="s">
        <v>215</v>
      </c>
      <c r="B117" s="17"/>
      <c r="C117" s="18"/>
      <c r="D117" s="18"/>
      <c r="E117" s="17"/>
      <c r="F117" s="18"/>
      <c r="G117" s="19"/>
      <c r="H117" s="20" t="str">
        <f aca="false">IF(AND(G117&lt;&gt;"",I117="Contacted"),G117+Rules!$B$17,"")</f>
        <v/>
      </c>
      <c r="I117" s="17"/>
      <c r="J117" s="21"/>
      <c r="K117" s="17"/>
      <c r="L117" s="18"/>
      <c r="M117" s="17"/>
      <c r="N117" s="17"/>
      <c r="O117" s="22" t="str">
        <f aca="false">IF(COUNTA(J117,K117,N117)=0,"",IF(COUNTA(J117,K117,N117)&lt;3,"Incomplete",IF(OR(K117="No",N117="No",J117&lt;Rules!$B$7,J117&gt;Rules!$B$8),"Not a fit",IF(AND(J117&gt;=Rules!$B$5,J117&lt;=Rules!$B$6,N117="Yes"),"Qualified","Maybe"))))</f>
        <v/>
      </c>
      <c r="P117" s="19"/>
      <c r="Q117" s="17"/>
      <c r="R117" s="17"/>
      <c r="S117" s="17"/>
      <c r="T117" s="17"/>
      <c r="U117" s="23"/>
      <c r="V117" s="17"/>
      <c r="W117" s="21"/>
      <c r="X117" s="18"/>
      <c r="Y117" s="18"/>
      <c r="Z117" s="24" t="str">
        <f aca="false">IF(I117="","",IFERROR(VLOOKUP(I117,Rules!$A$21:$B$30,2,FALSE()),""))</f>
        <v/>
      </c>
    </row>
    <row r="118" customFormat="false" ht="15" hidden="false" customHeight="false" outlineLevel="0" collapsed="false">
      <c r="A118" s="17" t="s">
        <v>216</v>
      </c>
      <c r="B118" s="17"/>
      <c r="C118" s="18"/>
      <c r="D118" s="18"/>
      <c r="E118" s="17"/>
      <c r="F118" s="18"/>
      <c r="G118" s="19"/>
      <c r="H118" s="20" t="str">
        <f aca="false">IF(AND(G118&lt;&gt;"",I118="Contacted"),G118+Rules!$B$17,"")</f>
        <v/>
      </c>
      <c r="I118" s="17"/>
      <c r="J118" s="21"/>
      <c r="K118" s="17"/>
      <c r="L118" s="18"/>
      <c r="M118" s="17"/>
      <c r="N118" s="17"/>
      <c r="O118" s="22" t="str">
        <f aca="false">IF(COUNTA(J118,K118,N118)=0,"",IF(COUNTA(J118,K118,N118)&lt;3,"Incomplete",IF(OR(K118="No",N118="No",J118&lt;Rules!$B$7,J118&gt;Rules!$B$8),"Not a fit",IF(AND(J118&gt;=Rules!$B$5,J118&lt;=Rules!$B$6,N118="Yes"),"Qualified","Maybe"))))</f>
        <v/>
      </c>
      <c r="P118" s="19"/>
      <c r="Q118" s="17"/>
      <c r="R118" s="17"/>
      <c r="S118" s="17"/>
      <c r="T118" s="17"/>
      <c r="U118" s="23"/>
      <c r="V118" s="17"/>
      <c r="W118" s="21"/>
      <c r="X118" s="18"/>
      <c r="Y118" s="18"/>
      <c r="Z118" s="24" t="str">
        <f aca="false">IF(I118="","",IFERROR(VLOOKUP(I118,Rules!$A$21:$B$30,2,FALSE()),""))</f>
        <v/>
      </c>
    </row>
    <row r="119" customFormat="false" ht="15" hidden="false" customHeight="false" outlineLevel="0" collapsed="false">
      <c r="A119" s="17" t="s">
        <v>217</v>
      </c>
      <c r="B119" s="17"/>
      <c r="C119" s="18"/>
      <c r="D119" s="18"/>
      <c r="E119" s="17"/>
      <c r="F119" s="18"/>
      <c r="G119" s="19"/>
      <c r="H119" s="20" t="str">
        <f aca="false">IF(AND(G119&lt;&gt;"",I119="Contacted"),G119+Rules!$B$17,"")</f>
        <v/>
      </c>
      <c r="I119" s="17"/>
      <c r="J119" s="21"/>
      <c r="K119" s="17"/>
      <c r="L119" s="18"/>
      <c r="M119" s="17"/>
      <c r="N119" s="17"/>
      <c r="O119" s="22" t="str">
        <f aca="false">IF(COUNTA(J119,K119,N119)=0,"",IF(COUNTA(J119,K119,N119)&lt;3,"Incomplete",IF(OR(K119="No",N119="No",J119&lt;Rules!$B$7,J119&gt;Rules!$B$8),"Not a fit",IF(AND(J119&gt;=Rules!$B$5,J119&lt;=Rules!$B$6,N119="Yes"),"Qualified","Maybe"))))</f>
        <v/>
      </c>
      <c r="P119" s="19"/>
      <c r="Q119" s="17"/>
      <c r="R119" s="17"/>
      <c r="S119" s="17"/>
      <c r="T119" s="17"/>
      <c r="U119" s="23"/>
      <c r="V119" s="17"/>
      <c r="W119" s="21"/>
      <c r="X119" s="18"/>
      <c r="Y119" s="18"/>
      <c r="Z119" s="24" t="str">
        <f aca="false">IF(I119="","",IFERROR(VLOOKUP(I119,Rules!$A$21:$B$30,2,FALSE()),""))</f>
        <v/>
      </c>
    </row>
    <row r="120" customFormat="false" ht="15" hidden="false" customHeight="false" outlineLevel="0" collapsed="false">
      <c r="A120" s="17" t="s">
        <v>218</v>
      </c>
      <c r="B120" s="17"/>
      <c r="C120" s="18"/>
      <c r="D120" s="18"/>
      <c r="E120" s="17"/>
      <c r="F120" s="18"/>
      <c r="G120" s="19"/>
      <c r="H120" s="20" t="str">
        <f aca="false">IF(AND(G120&lt;&gt;"",I120="Contacted"),G120+Rules!$B$17,"")</f>
        <v/>
      </c>
      <c r="I120" s="17"/>
      <c r="J120" s="21"/>
      <c r="K120" s="17"/>
      <c r="L120" s="18"/>
      <c r="M120" s="17"/>
      <c r="N120" s="17"/>
      <c r="O120" s="22" t="str">
        <f aca="false">IF(COUNTA(J120,K120,N120)=0,"",IF(COUNTA(J120,K120,N120)&lt;3,"Incomplete",IF(OR(K120="No",N120="No",J120&lt;Rules!$B$7,J120&gt;Rules!$B$8),"Not a fit",IF(AND(J120&gt;=Rules!$B$5,J120&lt;=Rules!$B$6,N120="Yes"),"Qualified","Maybe"))))</f>
        <v/>
      </c>
      <c r="P120" s="19"/>
      <c r="Q120" s="17"/>
      <c r="R120" s="17"/>
      <c r="S120" s="17"/>
      <c r="T120" s="17"/>
      <c r="U120" s="23"/>
      <c r="V120" s="17"/>
      <c r="W120" s="21"/>
      <c r="X120" s="18"/>
      <c r="Y120" s="18"/>
      <c r="Z120" s="24" t="str">
        <f aca="false">IF(I120="","",IFERROR(VLOOKUP(I120,Rules!$A$21:$B$30,2,FALSE()),""))</f>
        <v/>
      </c>
    </row>
    <row r="121" customFormat="false" ht="15" hidden="false" customHeight="false" outlineLevel="0" collapsed="false">
      <c r="A121" s="17" t="s">
        <v>219</v>
      </c>
      <c r="B121" s="17"/>
      <c r="C121" s="18"/>
      <c r="D121" s="18"/>
      <c r="E121" s="17"/>
      <c r="F121" s="18"/>
      <c r="G121" s="19"/>
      <c r="H121" s="20" t="str">
        <f aca="false">IF(AND(G121&lt;&gt;"",I121="Contacted"),G121+Rules!$B$17,"")</f>
        <v/>
      </c>
      <c r="I121" s="17"/>
      <c r="J121" s="21"/>
      <c r="K121" s="17"/>
      <c r="L121" s="18"/>
      <c r="M121" s="17"/>
      <c r="N121" s="17"/>
      <c r="O121" s="22" t="str">
        <f aca="false">IF(COUNTA(J121,K121,N121)=0,"",IF(COUNTA(J121,K121,N121)&lt;3,"Incomplete",IF(OR(K121="No",N121="No",J121&lt;Rules!$B$7,J121&gt;Rules!$B$8),"Not a fit",IF(AND(J121&gt;=Rules!$B$5,J121&lt;=Rules!$B$6,N121="Yes"),"Qualified","Maybe"))))</f>
        <v/>
      </c>
      <c r="P121" s="19"/>
      <c r="Q121" s="17"/>
      <c r="R121" s="17"/>
      <c r="S121" s="17"/>
      <c r="T121" s="17"/>
      <c r="U121" s="23"/>
      <c r="V121" s="17"/>
      <c r="W121" s="21"/>
      <c r="X121" s="18"/>
      <c r="Y121" s="18"/>
      <c r="Z121" s="24" t="str">
        <f aca="false">IF(I121="","",IFERROR(VLOOKUP(I121,Rules!$A$21:$B$30,2,FALSE()),""))</f>
        <v/>
      </c>
    </row>
    <row r="122" customFormat="false" ht="15" hidden="false" customHeight="false" outlineLevel="0" collapsed="false">
      <c r="A122" s="17" t="s">
        <v>220</v>
      </c>
      <c r="B122" s="17"/>
      <c r="C122" s="18"/>
      <c r="D122" s="18"/>
      <c r="E122" s="17"/>
      <c r="F122" s="18"/>
      <c r="G122" s="19"/>
      <c r="H122" s="20" t="str">
        <f aca="false">IF(AND(G122&lt;&gt;"",I122="Contacted"),G122+Rules!$B$17,"")</f>
        <v/>
      </c>
      <c r="I122" s="17"/>
      <c r="J122" s="21"/>
      <c r="K122" s="17"/>
      <c r="L122" s="18"/>
      <c r="M122" s="17"/>
      <c r="N122" s="17"/>
      <c r="O122" s="22" t="str">
        <f aca="false">IF(COUNTA(J122,K122,N122)=0,"",IF(COUNTA(J122,K122,N122)&lt;3,"Incomplete",IF(OR(K122="No",N122="No",J122&lt;Rules!$B$7,J122&gt;Rules!$B$8),"Not a fit",IF(AND(J122&gt;=Rules!$B$5,J122&lt;=Rules!$B$6,N122="Yes"),"Qualified","Maybe"))))</f>
        <v/>
      </c>
      <c r="P122" s="19"/>
      <c r="Q122" s="17"/>
      <c r="R122" s="17"/>
      <c r="S122" s="17"/>
      <c r="T122" s="17"/>
      <c r="U122" s="23"/>
      <c r="V122" s="17"/>
      <c r="W122" s="21"/>
      <c r="X122" s="18"/>
      <c r="Y122" s="18"/>
      <c r="Z122" s="24" t="str">
        <f aca="false">IF(I122="","",IFERROR(VLOOKUP(I122,Rules!$A$21:$B$30,2,FALSE()),""))</f>
        <v/>
      </c>
    </row>
    <row r="123" customFormat="false" ht="15" hidden="false" customHeight="false" outlineLevel="0" collapsed="false">
      <c r="A123" s="17" t="s">
        <v>221</v>
      </c>
      <c r="B123" s="17"/>
      <c r="C123" s="18"/>
      <c r="D123" s="18"/>
      <c r="E123" s="17"/>
      <c r="F123" s="18"/>
      <c r="G123" s="19"/>
      <c r="H123" s="20" t="str">
        <f aca="false">IF(AND(G123&lt;&gt;"",I123="Contacted"),G123+Rules!$B$17,"")</f>
        <v/>
      </c>
      <c r="I123" s="17"/>
      <c r="J123" s="21"/>
      <c r="K123" s="17"/>
      <c r="L123" s="18"/>
      <c r="M123" s="17"/>
      <c r="N123" s="17"/>
      <c r="O123" s="22" t="str">
        <f aca="false">IF(COUNTA(J123,K123,N123)=0,"",IF(COUNTA(J123,K123,N123)&lt;3,"Incomplete",IF(OR(K123="No",N123="No",J123&lt;Rules!$B$7,J123&gt;Rules!$B$8),"Not a fit",IF(AND(J123&gt;=Rules!$B$5,J123&lt;=Rules!$B$6,N123="Yes"),"Qualified","Maybe"))))</f>
        <v/>
      </c>
      <c r="P123" s="19"/>
      <c r="Q123" s="17"/>
      <c r="R123" s="17"/>
      <c r="S123" s="17"/>
      <c r="T123" s="17"/>
      <c r="U123" s="23"/>
      <c r="V123" s="17"/>
      <c r="W123" s="21"/>
      <c r="X123" s="18"/>
      <c r="Y123" s="18"/>
      <c r="Z123" s="24" t="str">
        <f aca="false">IF(I123="","",IFERROR(VLOOKUP(I123,Rules!$A$21:$B$30,2,FALSE()),""))</f>
        <v/>
      </c>
    </row>
    <row r="124" customFormat="false" ht="15" hidden="false" customHeight="false" outlineLevel="0" collapsed="false">
      <c r="A124" s="17" t="s">
        <v>222</v>
      </c>
      <c r="B124" s="17"/>
      <c r="C124" s="18"/>
      <c r="D124" s="18"/>
      <c r="E124" s="17"/>
      <c r="F124" s="18"/>
      <c r="G124" s="19"/>
      <c r="H124" s="20" t="str">
        <f aca="false">IF(AND(G124&lt;&gt;"",I124="Contacted"),G124+Rules!$B$17,"")</f>
        <v/>
      </c>
      <c r="I124" s="17"/>
      <c r="J124" s="21"/>
      <c r="K124" s="17"/>
      <c r="L124" s="18"/>
      <c r="M124" s="17"/>
      <c r="N124" s="17"/>
      <c r="O124" s="22" t="str">
        <f aca="false">IF(COUNTA(J124,K124,N124)=0,"",IF(COUNTA(J124,K124,N124)&lt;3,"Incomplete",IF(OR(K124="No",N124="No",J124&lt;Rules!$B$7,J124&gt;Rules!$B$8),"Not a fit",IF(AND(J124&gt;=Rules!$B$5,J124&lt;=Rules!$B$6,N124="Yes"),"Qualified","Maybe"))))</f>
        <v/>
      </c>
      <c r="P124" s="19"/>
      <c r="Q124" s="17"/>
      <c r="R124" s="17"/>
      <c r="S124" s="17"/>
      <c r="T124" s="17"/>
      <c r="U124" s="23"/>
      <c r="V124" s="17"/>
      <c r="W124" s="21"/>
      <c r="X124" s="18"/>
      <c r="Y124" s="18"/>
      <c r="Z124" s="24" t="str">
        <f aca="false">IF(I124="","",IFERROR(VLOOKUP(I124,Rules!$A$21:$B$30,2,FALSE()),""))</f>
        <v/>
      </c>
    </row>
    <row r="125" customFormat="false" ht="15" hidden="false" customHeight="false" outlineLevel="0" collapsed="false">
      <c r="A125" s="17" t="s">
        <v>223</v>
      </c>
      <c r="B125" s="17"/>
      <c r="C125" s="18"/>
      <c r="D125" s="18"/>
      <c r="E125" s="17"/>
      <c r="F125" s="18"/>
      <c r="G125" s="19"/>
      <c r="H125" s="20" t="str">
        <f aca="false">IF(AND(G125&lt;&gt;"",I125="Contacted"),G125+Rules!$B$17,"")</f>
        <v/>
      </c>
      <c r="I125" s="17"/>
      <c r="J125" s="21"/>
      <c r="K125" s="17"/>
      <c r="L125" s="18"/>
      <c r="M125" s="17"/>
      <c r="N125" s="17"/>
      <c r="O125" s="22" t="str">
        <f aca="false">IF(COUNTA(J125,K125,N125)=0,"",IF(COUNTA(J125,K125,N125)&lt;3,"Incomplete",IF(OR(K125="No",N125="No",J125&lt;Rules!$B$7,J125&gt;Rules!$B$8),"Not a fit",IF(AND(J125&gt;=Rules!$B$5,J125&lt;=Rules!$B$6,N125="Yes"),"Qualified","Maybe"))))</f>
        <v/>
      </c>
      <c r="P125" s="19"/>
      <c r="Q125" s="17"/>
      <c r="R125" s="17"/>
      <c r="S125" s="17"/>
      <c r="T125" s="17"/>
      <c r="U125" s="23"/>
      <c r="V125" s="17"/>
      <c r="W125" s="21"/>
      <c r="X125" s="18"/>
      <c r="Y125" s="18"/>
      <c r="Z125" s="24" t="str">
        <f aca="false">IF(I125="","",IFERROR(VLOOKUP(I125,Rules!$A$21:$B$30,2,FALSE()),""))</f>
        <v/>
      </c>
    </row>
    <row r="126" customFormat="false" ht="15" hidden="false" customHeight="false" outlineLevel="0" collapsed="false">
      <c r="A126" s="17" t="s">
        <v>224</v>
      </c>
      <c r="B126" s="17"/>
      <c r="C126" s="18"/>
      <c r="D126" s="18"/>
      <c r="E126" s="17"/>
      <c r="F126" s="18"/>
      <c r="G126" s="19"/>
      <c r="H126" s="20" t="str">
        <f aca="false">IF(AND(G126&lt;&gt;"",I126="Contacted"),G126+Rules!$B$17,"")</f>
        <v/>
      </c>
      <c r="I126" s="17"/>
      <c r="J126" s="21"/>
      <c r="K126" s="17"/>
      <c r="L126" s="18"/>
      <c r="M126" s="17"/>
      <c r="N126" s="17"/>
      <c r="O126" s="22" t="str">
        <f aca="false">IF(COUNTA(J126,K126,N126)=0,"",IF(COUNTA(J126,K126,N126)&lt;3,"Incomplete",IF(OR(K126="No",N126="No",J126&lt;Rules!$B$7,J126&gt;Rules!$B$8),"Not a fit",IF(AND(J126&gt;=Rules!$B$5,J126&lt;=Rules!$B$6,N126="Yes"),"Qualified","Maybe"))))</f>
        <v/>
      </c>
      <c r="P126" s="19"/>
      <c r="Q126" s="17"/>
      <c r="R126" s="17"/>
      <c r="S126" s="17"/>
      <c r="T126" s="17"/>
      <c r="U126" s="23"/>
      <c r="V126" s="17"/>
      <c r="W126" s="21"/>
      <c r="X126" s="18"/>
      <c r="Y126" s="18"/>
      <c r="Z126" s="24" t="str">
        <f aca="false">IF(I126="","",IFERROR(VLOOKUP(I126,Rules!$A$21:$B$30,2,FALSE()),""))</f>
        <v/>
      </c>
    </row>
    <row r="127" customFormat="false" ht="15" hidden="false" customHeight="false" outlineLevel="0" collapsed="false">
      <c r="A127" s="17" t="s">
        <v>225</v>
      </c>
      <c r="B127" s="17"/>
      <c r="C127" s="18"/>
      <c r="D127" s="18"/>
      <c r="E127" s="17"/>
      <c r="F127" s="18"/>
      <c r="G127" s="19"/>
      <c r="H127" s="20" t="str">
        <f aca="false">IF(AND(G127&lt;&gt;"",I127="Contacted"),G127+Rules!$B$17,"")</f>
        <v/>
      </c>
      <c r="I127" s="17"/>
      <c r="J127" s="21"/>
      <c r="K127" s="17"/>
      <c r="L127" s="18"/>
      <c r="M127" s="17"/>
      <c r="N127" s="17"/>
      <c r="O127" s="22" t="str">
        <f aca="false">IF(COUNTA(J127,K127,N127)=0,"",IF(COUNTA(J127,K127,N127)&lt;3,"Incomplete",IF(OR(K127="No",N127="No",J127&lt;Rules!$B$7,J127&gt;Rules!$B$8),"Not a fit",IF(AND(J127&gt;=Rules!$B$5,J127&lt;=Rules!$B$6,N127="Yes"),"Qualified","Maybe"))))</f>
        <v/>
      </c>
      <c r="P127" s="19"/>
      <c r="Q127" s="17"/>
      <c r="R127" s="17"/>
      <c r="S127" s="17"/>
      <c r="T127" s="17"/>
      <c r="U127" s="23"/>
      <c r="V127" s="17"/>
      <c r="W127" s="21"/>
      <c r="X127" s="18"/>
      <c r="Y127" s="18"/>
      <c r="Z127" s="24" t="str">
        <f aca="false">IF(I127="","",IFERROR(VLOOKUP(I127,Rules!$A$21:$B$30,2,FALSE()),""))</f>
        <v/>
      </c>
    </row>
    <row r="128" customFormat="false" ht="15" hidden="false" customHeight="false" outlineLevel="0" collapsed="false">
      <c r="A128" s="17" t="s">
        <v>226</v>
      </c>
      <c r="B128" s="17"/>
      <c r="C128" s="18"/>
      <c r="D128" s="18"/>
      <c r="E128" s="17"/>
      <c r="F128" s="18"/>
      <c r="G128" s="19"/>
      <c r="H128" s="20" t="str">
        <f aca="false">IF(AND(G128&lt;&gt;"",I128="Contacted"),G128+Rules!$B$17,"")</f>
        <v/>
      </c>
      <c r="I128" s="17"/>
      <c r="J128" s="21"/>
      <c r="K128" s="17"/>
      <c r="L128" s="18"/>
      <c r="M128" s="17"/>
      <c r="N128" s="17"/>
      <c r="O128" s="22" t="str">
        <f aca="false">IF(COUNTA(J128,K128,N128)=0,"",IF(COUNTA(J128,K128,N128)&lt;3,"Incomplete",IF(OR(K128="No",N128="No",J128&lt;Rules!$B$7,J128&gt;Rules!$B$8),"Not a fit",IF(AND(J128&gt;=Rules!$B$5,J128&lt;=Rules!$B$6,N128="Yes"),"Qualified","Maybe"))))</f>
        <v/>
      </c>
      <c r="P128" s="19"/>
      <c r="Q128" s="17"/>
      <c r="R128" s="17"/>
      <c r="S128" s="17"/>
      <c r="T128" s="17"/>
      <c r="U128" s="23"/>
      <c r="V128" s="17"/>
      <c r="W128" s="21"/>
      <c r="X128" s="18"/>
      <c r="Y128" s="18"/>
      <c r="Z128" s="24" t="str">
        <f aca="false">IF(I128="","",IFERROR(VLOOKUP(I128,Rules!$A$21:$B$30,2,FALSE()),""))</f>
        <v/>
      </c>
    </row>
    <row r="129" customFormat="false" ht="15" hidden="false" customHeight="false" outlineLevel="0" collapsed="false">
      <c r="A129" s="17" t="s">
        <v>227</v>
      </c>
      <c r="B129" s="17"/>
      <c r="C129" s="18"/>
      <c r="D129" s="18"/>
      <c r="E129" s="17"/>
      <c r="F129" s="18"/>
      <c r="G129" s="19"/>
      <c r="H129" s="20" t="str">
        <f aca="false">IF(AND(G129&lt;&gt;"",I129="Contacted"),G129+Rules!$B$17,"")</f>
        <v/>
      </c>
      <c r="I129" s="17"/>
      <c r="J129" s="21"/>
      <c r="K129" s="17"/>
      <c r="L129" s="18"/>
      <c r="M129" s="17"/>
      <c r="N129" s="17"/>
      <c r="O129" s="22" t="str">
        <f aca="false">IF(COUNTA(J129,K129,N129)=0,"",IF(COUNTA(J129,K129,N129)&lt;3,"Incomplete",IF(OR(K129="No",N129="No",J129&lt;Rules!$B$7,J129&gt;Rules!$B$8),"Not a fit",IF(AND(J129&gt;=Rules!$B$5,J129&lt;=Rules!$B$6,N129="Yes"),"Qualified","Maybe"))))</f>
        <v/>
      </c>
      <c r="P129" s="19"/>
      <c r="Q129" s="17"/>
      <c r="R129" s="17"/>
      <c r="S129" s="17"/>
      <c r="T129" s="17"/>
      <c r="U129" s="23"/>
      <c r="V129" s="17"/>
      <c r="W129" s="21"/>
      <c r="X129" s="18"/>
      <c r="Y129" s="18"/>
      <c r="Z129" s="24" t="str">
        <f aca="false">IF(I129="","",IFERROR(VLOOKUP(I129,Rules!$A$21:$B$30,2,FALSE()),""))</f>
        <v/>
      </c>
    </row>
    <row r="130" customFormat="false" ht="15" hidden="false" customHeight="false" outlineLevel="0" collapsed="false">
      <c r="A130" s="17" t="s">
        <v>228</v>
      </c>
      <c r="B130" s="17"/>
      <c r="C130" s="18"/>
      <c r="D130" s="18"/>
      <c r="E130" s="17"/>
      <c r="F130" s="18"/>
      <c r="G130" s="19"/>
      <c r="H130" s="20" t="str">
        <f aca="false">IF(AND(G130&lt;&gt;"",I130="Contacted"),G130+Rules!$B$17,"")</f>
        <v/>
      </c>
      <c r="I130" s="17"/>
      <c r="J130" s="21"/>
      <c r="K130" s="17"/>
      <c r="L130" s="18"/>
      <c r="M130" s="17"/>
      <c r="N130" s="17"/>
      <c r="O130" s="22" t="str">
        <f aca="false">IF(COUNTA(J130,K130,N130)=0,"",IF(COUNTA(J130,K130,N130)&lt;3,"Incomplete",IF(OR(K130="No",N130="No",J130&lt;Rules!$B$7,J130&gt;Rules!$B$8),"Not a fit",IF(AND(J130&gt;=Rules!$B$5,J130&lt;=Rules!$B$6,N130="Yes"),"Qualified","Maybe"))))</f>
        <v/>
      </c>
      <c r="P130" s="19"/>
      <c r="Q130" s="17"/>
      <c r="R130" s="17"/>
      <c r="S130" s="17"/>
      <c r="T130" s="17"/>
      <c r="U130" s="23"/>
      <c r="V130" s="17"/>
      <c r="W130" s="21"/>
      <c r="X130" s="18"/>
      <c r="Y130" s="18"/>
      <c r="Z130" s="24" t="str">
        <f aca="false">IF(I130="","",IFERROR(VLOOKUP(I130,Rules!$A$21:$B$30,2,FALSE()),""))</f>
        <v/>
      </c>
    </row>
    <row r="131" customFormat="false" ht="15" hidden="false" customHeight="false" outlineLevel="0" collapsed="false">
      <c r="A131" s="17" t="s">
        <v>229</v>
      </c>
      <c r="B131" s="17"/>
      <c r="C131" s="18"/>
      <c r="D131" s="18"/>
      <c r="E131" s="17"/>
      <c r="F131" s="18"/>
      <c r="G131" s="19"/>
      <c r="H131" s="20" t="str">
        <f aca="false">IF(AND(G131&lt;&gt;"",I131="Contacted"),G131+Rules!$B$17,"")</f>
        <v/>
      </c>
      <c r="I131" s="17"/>
      <c r="J131" s="21"/>
      <c r="K131" s="17"/>
      <c r="L131" s="18"/>
      <c r="M131" s="17"/>
      <c r="N131" s="17"/>
      <c r="O131" s="22" t="str">
        <f aca="false">IF(COUNTA(J131,K131,N131)=0,"",IF(COUNTA(J131,K131,N131)&lt;3,"Incomplete",IF(OR(K131="No",N131="No",J131&lt;Rules!$B$7,J131&gt;Rules!$B$8),"Not a fit",IF(AND(J131&gt;=Rules!$B$5,J131&lt;=Rules!$B$6,N131="Yes"),"Qualified","Maybe"))))</f>
        <v/>
      </c>
      <c r="P131" s="19"/>
      <c r="Q131" s="17"/>
      <c r="R131" s="17"/>
      <c r="S131" s="17"/>
      <c r="T131" s="17"/>
      <c r="U131" s="23"/>
      <c r="V131" s="17"/>
      <c r="W131" s="21"/>
      <c r="X131" s="18"/>
      <c r="Y131" s="18"/>
      <c r="Z131" s="24" t="str">
        <f aca="false">IF(I131="","",IFERROR(VLOOKUP(I131,Rules!$A$21:$B$30,2,FALSE()),""))</f>
        <v/>
      </c>
    </row>
    <row r="132" customFormat="false" ht="15" hidden="false" customHeight="false" outlineLevel="0" collapsed="false">
      <c r="A132" s="17" t="s">
        <v>230</v>
      </c>
      <c r="B132" s="17"/>
      <c r="C132" s="18"/>
      <c r="D132" s="18"/>
      <c r="E132" s="17"/>
      <c r="F132" s="18"/>
      <c r="G132" s="19"/>
      <c r="H132" s="20" t="str">
        <f aca="false">IF(AND(G132&lt;&gt;"",I132="Contacted"),G132+Rules!$B$17,"")</f>
        <v/>
      </c>
      <c r="I132" s="17"/>
      <c r="J132" s="21"/>
      <c r="K132" s="17"/>
      <c r="L132" s="18"/>
      <c r="M132" s="17"/>
      <c r="N132" s="17"/>
      <c r="O132" s="22" t="str">
        <f aca="false">IF(COUNTA(J132,K132,N132)=0,"",IF(COUNTA(J132,K132,N132)&lt;3,"Incomplete",IF(OR(K132="No",N132="No",J132&lt;Rules!$B$7,J132&gt;Rules!$B$8),"Not a fit",IF(AND(J132&gt;=Rules!$B$5,J132&lt;=Rules!$B$6,N132="Yes"),"Qualified","Maybe"))))</f>
        <v/>
      </c>
      <c r="P132" s="19"/>
      <c r="Q132" s="17"/>
      <c r="R132" s="17"/>
      <c r="S132" s="17"/>
      <c r="T132" s="17"/>
      <c r="U132" s="23"/>
      <c r="V132" s="17"/>
      <c r="W132" s="21"/>
      <c r="X132" s="18"/>
      <c r="Y132" s="18"/>
      <c r="Z132" s="24" t="str">
        <f aca="false">IF(I132="","",IFERROR(VLOOKUP(I132,Rules!$A$21:$B$30,2,FALSE()),""))</f>
        <v/>
      </c>
    </row>
    <row r="133" customFormat="false" ht="15" hidden="false" customHeight="false" outlineLevel="0" collapsed="false">
      <c r="A133" s="17" t="s">
        <v>231</v>
      </c>
      <c r="B133" s="17"/>
      <c r="C133" s="18"/>
      <c r="D133" s="18"/>
      <c r="E133" s="17"/>
      <c r="F133" s="18"/>
      <c r="G133" s="19"/>
      <c r="H133" s="20" t="str">
        <f aca="false">IF(AND(G133&lt;&gt;"",I133="Contacted"),G133+Rules!$B$17,"")</f>
        <v/>
      </c>
      <c r="I133" s="17"/>
      <c r="J133" s="21"/>
      <c r="K133" s="17"/>
      <c r="L133" s="18"/>
      <c r="M133" s="17"/>
      <c r="N133" s="17"/>
      <c r="O133" s="22" t="str">
        <f aca="false">IF(COUNTA(J133,K133,N133)=0,"",IF(COUNTA(J133,K133,N133)&lt;3,"Incomplete",IF(OR(K133="No",N133="No",J133&lt;Rules!$B$7,J133&gt;Rules!$B$8),"Not a fit",IF(AND(J133&gt;=Rules!$B$5,J133&lt;=Rules!$B$6,N133="Yes"),"Qualified","Maybe"))))</f>
        <v/>
      </c>
      <c r="P133" s="19"/>
      <c r="Q133" s="17"/>
      <c r="R133" s="17"/>
      <c r="S133" s="17"/>
      <c r="T133" s="17"/>
      <c r="U133" s="23"/>
      <c r="V133" s="17"/>
      <c r="W133" s="21"/>
      <c r="X133" s="18"/>
      <c r="Y133" s="18"/>
      <c r="Z133" s="24" t="str">
        <f aca="false">IF(I133="","",IFERROR(VLOOKUP(I133,Rules!$A$21:$B$30,2,FALSE()),""))</f>
        <v/>
      </c>
    </row>
    <row r="134" customFormat="false" ht="15" hidden="false" customHeight="false" outlineLevel="0" collapsed="false">
      <c r="A134" s="17" t="s">
        <v>232</v>
      </c>
      <c r="B134" s="17"/>
      <c r="C134" s="18"/>
      <c r="D134" s="18"/>
      <c r="E134" s="17"/>
      <c r="F134" s="18"/>
      <c r="G134" s="19"/>
      <c r="H134" s="20" t="str">
        <f aca="false">IF(AND(G134&lt;&gt;"",I134="Contacted"),G134+Rules!$B$17,"")</f>
        <v/>
      </c>
      <c r="I134" s="17"/>
      <c r="J134" s="21"/>
      <c r="K134" s="17"/>
      <c r="L134" s="18"/>
      <c r="M134" s="17"/>
      <c r="N134" s="17"/>
      <c r="O134" s="22" t="str">
        <f aca="false">IF(COUNTA(J134,K134,N134)=0,"",IF(COUNTA(J134,K134,N134)&lt;3,"Incomplete",IF(OR(K134="No",N134="No",J134&lt;Rules!$B$7,J134&gt;Rules!$B$8),"Not a fit",IF(AND(J134&gt;=Rules!$B$5,J134&lt;=Rules!$B$6,N134="Yes"),"Qualified","Maybe"))))</f>
        <v/>
      </c>
      <c r="P134" s="19"/>
      <c r="Q134" s="17"/>
      <c r="R134" s="17"/>
      <c r="S134" s="17"/>
      <c r="T134" s="17"/>
      <c r="U134" s="23"/>
      <c r="V134" s="17"/>
      <c r="W134" s="21"/>
      <c r="X134" s="18"/>
      <c r="Y134" s="18"/>
      <c r="Z134" s="24" t="str">
        <f aca="false">IF(I134="","",IFERROR(VLOOKUP(I134,Rules!$A$21:$B$30,2,FALSE()),""))</f>
        <v/>
      </c>
    </row>
    <row r="135" customFormat="false" ht="15" hidden="false" customHeight="false" outlineLevel="0" collapsed="false">
      <c r="A135" s="17" t="s">
        <v>233</v>
      </c>
      <c r="B135" s="17"/>
      <c r="C135" s="18"/>
      <c r="D135" s="18"/>
      <c r="E135" s="17"/>
      <c r="F135" s="18"/>
      <c r="G135" s="19"/>
      <c r="H135" s="20" t="str">
        <f aca="false">IF(AND(G135&lt;&gt;"",I135="Contacted"),G135+Rules!$B$17,"")</f>
        <v/>
      </c>
      <c r="I135" s="17"/>
      <c r="J135" s="21"/>
      <c r="K135" s="17"/>
      <c r="L135" s="18"/>
      <c r="M135" s="17"/>
      <c r="N135" s="17"/>
      <c r="O135" s="22" t="str">
        <f aca="false">IF(COUNTA(J135,K135,N135)=0,"",IF(COUNTA(J135,K135,N135)&lt;3,"Incomplete",IF(OR(K135="No",N135="No",J135&lt;Rules!$B$7,J135&gt;Rules!$B$8),"Not a fit",IF(AND(J135&gt;=Rules!$B$5,J135&lt;=Rules!$B$6,N135="Yes"),"Qualified","Maybe"))))</f>
        <v/>
      </c>
      <c r="P135" s="19"/>
      <c r="Q135" s="17"/>
      <c r="R135" s="17"/>
      <c r="S135" s="17"/>
      <c r="T135" s="17"/>
      <c r="U135" s="23"/>
      <c r="V135" s="17"/>
      <c r="W135" s="21"/>
      <c r="X135" s="18"/>
      <c r="Y135" s="18"/>
      <c r="Z135" s="24" t="str">
        <f aca="false">IF(I135="","",IFERROR(VLOOKUP(I135,Rules!$A$21:$B$30,2,FALSE()),""))</f>
        <v/>
      </c>
    </row>
    <row r="136" customFormat="false" ht="15" hidden="false" customHeight="false" outlineLevel="0" collapsed="false">
      <c r="A136" s="17" t="s">
        <v>234</v>
      </c>
      <c r="B136" s="17"/>
      <c r="C136" s="18"/>
      <c r="D136" s="18"/>
      <c r="E136" s="17"/>
      <c r="F136" s="18"/>
      <c r="G136" s="19"/>
      <c r="H136" s="20" t="str">
        <f aca="false">IF(AND(G136&lt;&gt;"",I136="Contacted"),G136+Rules!$B$17,"")</f>
        <v/>
      </c>
      <c r="I136" s="17"/>
      <c r="J136" s="21"/>
      <c r="K136" s="17"/>
      <c r="L136" s="18"/>
      <c r="M136" s="17"/>
      <c r="N136" s="17"/>
      <c r="O136" s="22" t="str">
        <f aca="false">IF(COUNTA(J136,K136,N136)=0,"",IF(COUNTA(J136,K136,N136)&lt;3,"Incomplete",IF(OR(K136="No",N136="No",J136&lt;Rules!$B$7,J136&gt;Rules!$B$8),"Not a fit",IF(AND(J136&gt;=Rules!$B$5,J136&lt;=Rules!$B$6,N136="Yes"),"Qualified","Maybe"))))</f>
        <v/>
      </c>
      <c r="P136" s="19"/>
      <c r="Q136" s="17"/>
      <c r="R136" s="17"/>
      <c r="S136" s="17"/>
      <c r="T136" s="17"/>
      <c r="U136" s="23"/>
      <c r="V136" s="17"/>
      <c r="W136" s="21"/>
      <c r="X136" s="18"/>
      <c r="Y136" s="18"/>
      <c r="Z136" s="24" t="str">
        <f aca="false">IF(I136="","",IFERROR(VLOOKUP(I136,Rules!$A$21:$B$30,2,FALSE()),""))</f>
        <v/>
      </c>
    </row>
    <row r="137" customFormat="false" ht="15" hidden="false" customHeight="false" outlineLevel="0" collapsed="false">
      <c r="A137" s="17" t="s">
        <v>235</v>
      </c>
      <c r="B137" s="17"/>
      <c r="C137" s="18"/>
      <c r="D137" s="18"/>
      <c r="E137" s="17"/>
      <c r="F137" s="18"/>
      <c r="G137" s="19"/>
      <c r="H137" s="20" t="str">
        <f aca="false">IF(AND(G137&lt;&gt;"",I137="Contacted"),G137+Rules!$B$17,"")</f>
        <v/>
      </c>
      <c r="I137" s="17"/>
      <c r="J137" s="21"/>
      <c r="K137" s="17"/>
      <c r="L137" s="18"/>
      <c r="M137" s="17"/>
      <c r="N137" s="17"/>
      <c r="O137" s="22" t="str">
        <f aca="false">IF(COUNTA(J137,K137,N137)=0,"",IF(COUNTA(J137,K137,N137)&lt;3,"Incomplete",IF(OR(K137="No",N137="No",J137&lt;Rules!$B$7,J137&gt;Rules!$B$8),"Not a fit",IF(AND(J137&gt;=Rules!$B$5,J137&lt;=Rules!$B$6,N137="Yes"),"Qualified","Maybe"))))</f>
        <v/>
      </c>
      <c r="P137" s="19"/>
      <c r="Q137" s="17"/>
      <c r="R137" s="17"/>
      <c r="S137" s="17"/>
      <c r="T137" s="17"/>
      <c r="U137" s="23"/>
      <c r="V137" s="17"/>
      <c r="W137" s="21"/>
      <c r="X137" s="18"/>
      <c r="Y137" s="18"/>
      <c r="Z137" s="24" t="str">
        <f aca="false">IF(I137="","",IFERROR(VLOOKUP(I137,Rules!$A$21:$B$30,2,FALSE()),""))</f>
        <v/>
      </c>
    </row>
    <row r="138" customFormat="false" ht="15" hidden="false" customHeight="false" outlineLevel="0" collapsed="false">
      <c r="A138" s="17" t="s">
        <v>236</v>
      </c>
      <c r="B138" s="17"/>
      <c r="C138" s="18"/>
      <c r="D138" s="18"/>
      <c r="E138" s="17"/>
      <c r="F138" s="18"/>
      <c r="G138" s="19"/>
      <c r="H138" s="20" t="str">
        <f aca="false">IF(AND(G138&lt;&gt;"",I138="Contacted"),G138+Rules!$B$17,"")</f>
        <v/>
      </c>
      <c r="I138" s="17"/>
      <c r="J138" s="21"/>
      <c r="K138" s="17"/>
      <c r="L138" s="18"/>
      <c r="M138" s="17"/>
      <c r="N138" s="17"/>
      <c r="O138" s="22" t="str">
        <f aca="false">IF(COUNTA(J138,K138,N138)=0,"",IF(COUNTA(J138,K138,N138)&lt;3,"Incomplete",IF(OR(K138="No",N138="No",J138&lt;Rules!$B$7,J138&gt;Rules!$B$8),"Not a fit",IF(AND(J138&gt;=Rules!$B$5,J138&lt;=Rules!$B$6,N138="Yes"),"Qualified","Maybe"))))</f>
        <v/>
      </c>
      <c r="P138" s="19"/>
      <c r="Q138" s="17"/>
      <c r="R138" s="17"/>
      <c r="S138" s="17"/>
      <c r="T138" s="17"/>
      <c r="U138" s="23"/>
      <c r="V138" s="17"/>
      <c r="W138" s="21"/>
      <c r="X138" s="18"/>
      <c r="Y138" s="18"/>
      <c r="Z138" s="24" t="str">
        <f aca="false">IF(I138="","",IFERROR(VLOOKUP(I138,Rules!$A$21:$B$30,2,FALSE()),""))</f>
        <v/>
      </c>
    </row>
    <row r="139" customFormat="false" ht="15" hidden="false" customHeight="false" outlineLevel="0" collapsed="false">
      <c r="A139" s="17" t="s">
        <v>237</v>
      </c>
      <c r="B139" s="17"/>
      <c r="C139" s="18"/>
      <c r="D139" s="18"/>
      <c r="E139" s="17"/>
      <c r="F139" s="18"/>
      <c r="G139" s="19"/>
      <c r="H139" s="20" t="str">
        <f aca="false">IF(AND(G139&lt;&gt;"",I139="Contacted"),G139+Rules!$B$17,"")</f>
        <v/>
      </c>
      <c r="I139" s="17"/>
      <c r="J139" s="21"/>
      <c r="K139" s="17"/>
      <c r="L139" s="18"/>
      <c r="M139" s="17"/>
      <c r="N139" s="17"/>
      <c r="O139" s="22" t="str">
        <f aca="false">IF(COUNTA(J139,K139,N139)=0,"",IF(COUNTA(J139,K139,N139)&lt;3,"Incomplete",IF(OR(K139="No",N139="No",J139&lt;Rules!$B$7,J139&gt;Rules!$B$8),"Not a fit",IF(AND(J139&gt;=Rules!$B$5,J139&lt;=Rules!$B$6,N139="Yes"),"Qualified","Maybe"))))</f>
        <v/>
      </c>
      <c r="P139" s="19"/>
      <c r="Q139" s="17"/>
      <c r="R139" s="17"/>
      <c r="S139" s="17"/>
      <c r="T139" s="17"/>
      <c r="U139" s="23"/>
      <c r="V139" s="17"/>
      <c r="W139" s="21"/>
      <c r="X139" s="18"/>
      <c r="Y139" s="18"/>
      <c r="Z139" s="24" t="str">
        <f aca="false">IF(I139="","",IFERROR(VLOOKUP(I139,Rules!$A$21:$B$30,2,FALSE()),""))</f>
        <v/>
      </c>
    </row>
    <row r="140" customFormat="false" ht="15" hidden="false" customHeight="false" outlineLevel="0" collapsed="false">
      <c r="A140" s="17" t="s">
        <v>238</v>
      </c>
      <c r="B140" s="17"/>
      <c r="C140" s="18"/>
      <c r="D140" s="18"/>
      <c r="E140" s="17"/>
      <c r="F140" s="18"/>
      <c r="G140" s="19"/>
      <c r="H140" s="20" t="str">
        <f aca="false">IF(AND(G140&lt;&gt;"",I140="Contacted"),G140+Rules!$B$17,"")</f>
        <v/>
      </c>
      <c r="I140" s="17"/>
      <c r="J140" s="21"/>
      <c r="K140" s="17"/>
      <c r="L140" s="18"/>
      <c r="M140" s="17"/>
      <c r="N140" s="17"/>
      <c r="O140" s="22" t="str">
        <f aca="false">IF(COUNTA(J140,K140,N140)=0,"",IF(COUNTA(J140,K140,N140)&lt;3,"Incomplete",IF(OR(K140="No",N140="No",J140&lt;Rules!$B$7,J140&gt;Rules!$B$8),"Not a fit",IF(AND(J140&gt;=Rules!$B$5,J140&lt;=Rules!$B$6,N140="Yes"),"Qualified","Maybe"))))</f>
        <v/>
      </c>
      <c r="P140" s="19"/>
      <c r="Q140" s="17"/>
      <c r="R140" s="17"/>
      <c r="S140" s="17"/>
      <c r="T140" s="17"/>
      <c r="U140" s="23"/>
      <c r="V140" s="17"/>
      <c r="W140" s="21"/>
      <c r="X140" s="18"/>
      <c r="Y140" s="18"/>
      <c r="Z140" s="24" t="str">
        <f aca="false">IF(I140="","",IFERROR(VLOOKUP(I140,Rules!$A$21:$B$30,2,FALSE()),""))</f>
        <v/>
      </c>
    </row>
    <row r="141" customFormat="false" ht="15" hidden="false" customHeight="false" outlineLevel="0" collapsed="false">
      <c r="A141" s="17" t="s">
        <v>239</v>
      </c>
      <c r="B141" s="17"/>
      <c r="C141" s="18"/>
      <c r="D141" s="18"/>
      <c r="E141" s="17"/>
      <c r="F141" s="18"/>
      <c r="G141" s="19"/>
      <c r="H141" s="20" t="str">
        <f aca="false">IF(AND(G141&lt;&gt;"",I141="Contacted"),G141+Rules!$B$17,"")</f>
        <v/>
      </c>
      <c r="I141" s="17"/>
      <c r="J141" s="21"/>
      <c r="K141" s="17"/>
      <c r="L141" s="18"/>
      <c r="M141" s="17"/>
      <c r="N141" s="17"/>
      <c r="O141" s="22" t="str">
        <f aca="false">IF(COUNTA(J141,K141,N141)=0,"",IF(COUNTA(J141,K141,N141)&lt;3,"Incomplete",IF(OR(K141="No",N141="No",J141&lt;Rules!$B$7,J141&gt;Rules!$B$8),"Not a fit",IF(AND(J141&gt;=Rules!$B$5,J141&lt;=Rules!$B$6,N141="Yes"),"Qualified","Maybe"))))</f>
        <v/>
      </c>
      <c r="P141" s="19"/>
      <c r="Q141" s="17"/>
      <c r="R141" s="17"/>
      <c r="S141" s="17"/>
      <c r="T141" s="17"/>
      <c r="U141" s="23"/>
      <c r="V141" s="17"/>
      <c r="W141" s="21"/>
      <c r="X141" s="18"/>
      <c r="Y141" s="18"/>
      <c r="Z141" s="24" t="str">
        <f aca="false">IF(I141="","",IFERROR(VLOOKUP(I141,Rules!$A$21:$B$30,2,FALSE()),""))</f>
        <v/>
      </c>
    </row>
    <row r="142" customFormat="false" ht="15" hidden="false" customHeight="false" outlineLevel="0" collapsed="false">
      <c r="A142" s="17" t="s">
        <v>240</v>
      </c>
      <c r="B142" s="17"/>
      <c r="C142" s="18"/>
      <c r="D142" s="18"/>
      <c r="E142" s="17"/>
      <c r="F142" s="18"/>
      <c r="G142" s="19"/>
      <c r="H142" s="20" t="str">
        <f aca="false">IF(AND(G142&lt;&gt;"",I142="Contacted"),G142+Rules!$B$17,"")</f>
        <v/>
      </c>
      <c r="I142" s="17"/>
      <c r="J142" s="21"/>
      <c r="K142" s="17"/>
      <c r="L142" s="18"/>
      <c r="M142" s="17"/>
      <c r="N142" s="17"/>
      <c r="O142" s="22" t="str">
        <f aca="false">IF(COUNTA(J142,K142,N142)=0,"",IF(COUNTA(J142,K142,N142)&lt;3,"Incomplete",IF(OR(K142="No",N142="No",J142&lt;Rules!$B$7,J142&gt;Rules!$B$8),"Not a fit",IF(AND(J142&gt;=Rules!$B$5,J142&lt;=Rules!$B$6,N142="Yes"),"Qualified","Maybe"))))</f>
        <v/>
      </c>
      <c r="P142" s="19"/>
      <c r="Q142" s="17"/>
      <c r="R142" s="17"/>
      <c r="S142" s="17"/>
      <c r="T142" s="17"/>
      <c r="U142" s="23"/>
      <c r="V142" s="17"/>
      <c r="W142" s="21"/>
      <c r="X142" s="18"/>
      <c r="Y142" s="18"/>
      <c r="Z142" s="24" t="str">
        <f aca="false">IF(I142="","",IFERROR(VLOOKUP(I142,Rules!$A$21:$B$30,2,FALSE()),""))</f>
        <v/>
      </c>
    </row>
    <row r="143" customFormat="false" ht="15" hidden="false" customHeight="false" outlineLevel="0" collapsed="false">
      <c r="A143" s="17" t="s">
        <v>241</v>
      </c>
      <c r="B143" s="17"/>
      <c r="C143" s="18"/>
      <c r="D143" s="18"/>
      <c r="E143" s="17"/>
      <c r="F143" s="18"/>
      <c r="G143" s="19"/>
      <c r="H143" s="20" t="str">
        <f aca="false">IF(AND(G143&lt;&gt;"",I143="Contacted"),G143+Rules!$B$17,"")</f>
        <v/>
      </c>
      <c r="I143" s="17"/>
      <c r="J143" s="21"/>
      <c r="K143" s="17"/>
      <c r="L143" s="18"/>
      <c r="M143" s="17"/>
      <c r="N143" s="17"/>
      <c r="O143" s="22" t="str">
        <f aca="false">IF(COUNTA(J143,K143,N143)=0,"",IF(COUNTA(J143,K143,N143)&lt;3,"Incomplete",IF(OR(K143="No",N143="No",J143&lt;Rules!$B$7,J143&gt;Rules!$B$8),"Not a fit",IF(AND(J143&gt;=Rules!$B$5,J143&lt;=Rules!$B$6,N143="Yes"),"Qualified","Maybe"))))</f>
        <v/>
      </c>
      <c r="P143" s="19"/>
      <c r="Q143" s="17"/>
      <c r="R143" s="17"/>
      <c r="S143" s="17"/>
      <c r="T143" s="17"/>
      <c r="U143" s="23"/>
      <c r="V143" s="17"/>
      <c r="W143" s="21"/>
      <c r="X143" s="18"/>
      <c r="Y143" s="18"/>
      <c r="Z143" s="24" t="str">
        <f aca="false">IF(I143="","",IFERROR(VLOOKUP(I143,Rules!$A$21:$B$30,2,FALSE()),""))</f>
        <v/>
      </c>
    </row>
    <row r="144" customFormat="false" ht="15" hidden="false" customHeight="false" outlineLevel="0" collapsed="false">
      <c r="A144" s="17" t="s">
        <v>242</v>
      </c>
      <c r="B144" s="17"/>
      <c r="C144" s="18"/>
      <c r="D144" s="18"/>
      <c r="E144" s="17"/>
      <c r="F144" s="18"/>
      <c r="G144" s="19"/>
      <c r="H144" s="20" t="str">
        <f aca="false">IF(AND(G144&lt;&gt;"",I144="Contacted"),G144+Rules!$B$17,"")</f>
        <v/>
      </c>
      <c r="I144" s="17"/>
      <c r="J144" s="21"/>
      <c r="K144" s="17"/>
      <c r="L144" s="18"/>
      <c r="M144" s="17"/>
      <c r="N144" s="17"/>
      <c r="O144" s="22" t="str">
        <f aca="false">IF(COUNTA(J144,K144,N144)=0,"",IF(COUNTA(J144,K144,N144)&lt;3,"Incomplete",IF(OR(K144="No",N144="No",J144&lt;Rules!$B$7,J144&gt;Rules!$B$8),"Not a fit",IF(AND(J144&gt;=Rules!$B$5,J144&lt;=Rules!$B$6,N144="Yes"),"Qualified","Maybe"))))</f>
        <v/>
      </c>
      <c r="P144" s="19"/>
      <c r="Q144" s="17"/>
      <c r="R144" s="17"/>
      <c r="S144" s="17"/>
      <c r="T144" s="17"/>
      <c r="U144" s="23"/>
      <c r="V144" s="17"/>
      <c r="W144" s="21"/>
      <c r="X144" s="18"/>
      <c r="Y144" s="18"/>
      <c r="Z144" s="24" t="str">
        <f aca="false">IF(I144="","",IFERROR(VLOOKUP(I144,Rules!$A$21:$B$30,2,FALSE()),""))</f>
        <v/>
      </c>
    </row>
    <row r="145" customFormat="false" ht="15" hidden="false" customHeight="false" outlineLevel="0" collapsed="false">
      <c r="A145" s="17" t="s">
        <v>243</v>
      </c>
      <c r="B145" s="17"/>
      <c r="C145" s="18"/>
      <c r="D145" s="18"/>
      <c r="E145" s="17"/>
      <c r="F145" s="18"/>
      <c r="G145" s="19"/>
      <c r="H145" s="20" t="str">
        <f aca="false">IF(AND(G145&lt;&gt;"",I145="Contacted"),G145+Rules!$B$17,"")</f>
        <v/>
      </c>
      <c r="I145" s="17"/>
      <c r="J145" s="21"/>
      <c r="K145" s="17"/>
      <c r="L145" s="18"/>
      <c r="M145" s="17"/>
      <c r="N145" s="17"/>
      <c r="O145" s="22" t="str">
        <f aca="false">IF(COUNTA(J145,K145,N145)=0,"",IF(COUNTA(J145,K145,N145)&lt;3,"Incomplete",IF(OR(K145="No",N145="No",J145&lt;Rules!$B$7,J145&gt;Rules!$B$8),"Not a fit",IF(AND(J145&gt;=Rules!$B$5,J145&lt;=Rules!$B$6,N145="Yes"),"Qualified","Maybe"))))</f>
        <v/>
      </c>
      <c r="P145" s="19"/>
      <c r="Q145" s="17"/>
      <c r="R145" s="17"/>
      <c r="S145" s="17"/>
      <c r="T145" s="17"/>
      <c r="U145" s="23"/>
      <c r="V145" s="17"/>
      <c r="W145" s="21"/>
      <c r="X145" s="18"/>
      <c r="Y145" s="18"/>
      <c r="Z145" s="24" t="str">
        <f aca="false">IF(I145="","",IFERROR(VLOOKUP(I145,Rules!$A$21:$B$30,2,FALSE()),""))</f>
        <v/>
      </c>
    </row>
    <row r="146" customFormat="false" ht="15" hidden="false" customHeight="false" outlineLevel="0" collapsed="false">
      <c r="A146" s="17" t="s">
        <v>244</v>
      </c>
      <c r="B146" s="17"/>
      <c r="C146" s="18"/>
      <c r="D146" s="18"/>
      <c r="E146" s="17"/>
      <c r="F146" s="18"/>
      <c r="G146" s="19"/>
      <c r="H146" s="20" t="str">
        <f aca="false">IF(AND(G146&lt;&gt;"",I146="Contacted"),G146+Rules!$B$17,"")</f>
        <v/>
      </c>
      <c r="I146" s="17"/>
      <c r="J146" s="21"/>
      <c r="K146" s="17"/>
      <c r="L146" s="18"/>
      <c r="M146" s="17"/>
      <c r="N146" s="17"/>
      <c r="O146" s="22" t="str">
        <f aca="false">IF(COUNTA(J146,K146,N146)=0,"",IF(COUNTA(J146,K146,N146)&lt;3,"Incomplete",IF(OR(K146="No",N146="No",J146&lt;Rules!$B$7,J146&gt;Rules!$B$8),"Not a fit",IF(AND(J146&gt;=Rules!$B$5,J146&lt;=Rules!$B$6,N146="Yes"),"Qualified","Maybe"))))</f>
        <v/>
      </c>
      <c r="P146" s="19"/>
      <c r="Q146" s="17"/>
      <c r="R146" s="17"/>
      <c r="S146" s="17"/>
      <c r="T146" s="17"/>
      <c r="U146" s="23"/>
      <c r="V146" s="17"/>
      <c r="W146" s="21"/>
      <c r="X146" s="18"/>
      <c r="Y146" s="18"/>
      <c r="Z146" s="24" t="str">
        <f aca="false">IF(I146="","",IFERROR(VLOOKUP(I146,Rules!$A$21:$B$30,2,FALSE()),""))</f>
        <v/>
      </c>
    </row>
    <row r="147" customFormat="false" ht="15" hidden="false" customHeight="false" outlineLevel="0" collapsed="false">
      <c r="A147" s="17" t="s">
        <v>245</v>
      </c>
      <c r="B147" s="17"/>
      <c r="C147" s="18"/>
      <c r="D147" s="18"/>
      <c r="E147" s="17"/>
      <c r="F147" s="18"/>
      <c r="G147" s="19"/>
      <c r="H147" s="20" t="str">
        <f aca="false">IF(AND(G147&lt;&gt;"",I147="Contacted"),G147+Rules!$B$17,"")</f>
        <v/>
      </c>
      <c r="I147" s="17"/>
      <c r="J147" s="21"/>
      <c r="K147" s="17"/>
      <c r="L147" s="18"/>
      <c r="M147" s="17"/>
      <c r="N147" s="17"/>
      <c r="O147" s="22" t="str">
        <f aca="false">IF(COUNTA(J147,K147,N147)=0,"",IF(COUNTA(J147,K147,N147)&lt;3,"Incomplete",IF(OR(K147="No",N147="No",J147&lt;Rules!$B$7,J147&gt;Rules!$B$8),"Not a fit",IF(AND(J147&gt;=Rules!$B$5,J147&lt;=Rules!$B$6,N147="Yes"),"Qualified","Maybe"))))</f>
        <v/>
      </c>
      <c r="P147" s="19"/>
      <c r="Q147" s="17"/>
      <c r="R147" s="17"/>
      <c r="S147" s="17"/>
      <c r="T147" s="17"/>
      <c r="U147" s="23"/>
      <c r="V147" s="17"/>
      <c r="W147" s="21"/>
      <c r="X147" s="18"/>
      <c r="Y147" s="18"/>
      <c r="Z147" s="24" t="str">
        <f aca="false">IF(I147="","",IFERROR(VLOOKUP(I147,Rules!$A$21:$B$30,2,FALSE()),""))</f>
        <v/>
      </c>
    </row>
    <row r="148" customFormat="false" ht="15" hidden="false" customHeight="false" outlineLevel="0" collapsed="false">
      <c r="A148" s="17" t="s">
        <v>246</v>
      </c>
      <c r="B148" s="17"/>
      <c r="C148" s="18"/>
      <c r="D148" s="18"/>
      <c r="E148" s="17"/>
      <c r="F148" s="18"/>
      <c r="G148" s="19"/>
      <c r="H148" s="20" t="str">
        <f aca="false">IF(AND(G148&lt;&gt;"",I148="Contacted"),G148+Rules!$B$17,"")</f>
        <v/>
      </c>
      <c r="I148" s="17"/>
      <c r="J148" s="21"/>
      <c r="K148" s="17"/>
      <c r="L148" s="18"/>
      <c r="M148" s="17"/>
      <c r="N148" s="17"/>
      <c r="O148" s="22" t="str">
        <f aca="false">IF(COUNTA(J148,K148,N148)=0,"",IF(COUNTA(J148,K148,N148)&lt;3,"Incomplete",IF(OR(K148="No",N148="No",J148&lt;Rules!$B$7,J148&gt;Rules!$B$8),"Not a fit",IF(AND(J148&gt;=Rules!$B$5,J148&lt;=Rules!$B$6,N148="Yes"),"Qualified","Maybe"))))</f>
        <v/>
      </c>
      <c r="P148" s="19"/>
      <c r="Q148" s="17"/>
      <c r="R148" s="17"/>
      <c r="S148" s="17"/>
      <c r="T148" s="17"/>
      <c r="U148" s="23"/>
      <c r="V148" s="17"/>
      <c r="W148" s="21"/>
      <c r="X148" s="18"/>
      <c r="Y148" s="18"/>
      <c r="Z148" s="24" t="str">
        <f aca="false">IF(I148="","",IFERROR(VLOOKUP(I148,Rules!$A$21:$B$30,2,FALSE()),""))</f>
        <v/>
      </c>
    </row>
    <row r="149" customFormat="false" ht="15" hidden="false" customHeight="false" outlineLevel="0" collapsed="false">
      <c r="A149" s="17" t="s">
        <v>247</v>
      </c>
      <c r="B149" s="17"/>
      <c r="C149" s="18"/>
      <c r="D149" s="18"/>
      <c r="E149" s="17"/>
      <c r="F149" s="18"/>
      <c r="G149" s="19"/>
      <c r="H149" s="20" t="str">
        <f aca="false">IF(AND(G149&lt;&gt;"",I149="Contacted"),G149+Rules!$B$17,"")</f>
        <v/>
      </c>
      <c r="I149" s="17"/>
      <c r="J149" s="21"/>
      <c r="K149" s="17"/>
      <c r="L149" s="18"/>
      <c r="M149" s="17"/>
      <c r="N149" s="17"/>
      <c r="O149" s="22" t="str">
        <f aca="false">IF(COUNTA(J149,K149,N149)=0,"",IF(COUNTA(J149,K149,N149)&lt;3,"Incomplete",IF(OR(K149="No",N149="No",J149&lt;Rules!$B$7,J149&gt;Rules!$B$8),"Not a fit",IF(AND(J149&gt;=Rules!$B$5,J149&lt;=Rules!$B$6,N149="Yes"),"Qualified","Maybe"))))</f>
        <v/>
      </c>
      <c r="P149" s="19"/>
      <c r="Q149" s="17"/>
      <c r="R149" s="17"/>
      <c r="S149" s="17"/>
      <c r="T149" s="17"/>
      <c r="U149" s="23"/>
      <c r="V149" s="17"/>
      <c r="W149" s="21"/>
      <c r="X149" s="18"/>
      <c r="Y149" s="18"/>
      <c r="Z149" s="24" t="str">
        <f aca="false">IF(I149="","",IFERROR(VLOOKUP(I149,Rules!$A$21:$B$30,2,FALSE()),""))</f>
        <v/>
      </c>
    </row>
    <row r="150" customFormat="false" ht="15" hidden="false" customHeight="false" outlineLevel="0" collapsed="false">
      <c r="A150" s="17" t="s">
        <v>248</v>
      </c>
      <c r="B150" s="17"/>
      <c r="C150" s="18"/>
      <c r="D150" s="18"/>
      <c r="E150" s="17"/>
      <c r="F150" s="18"/>
      <c r="G150" s="19"/>
      <c r="H150" s="20" t="str">
        <f aca="false">IF(AND(G150&lt;&gt;"",I150="Contacted"),G150+Rules!$B$17,"")</f>
        <v/>
      </c>
      <c r="I150" s="17"/>
      <c r="J150" s="21"/>
      <c r="K150" s="17"/>
      <c r="L150" s="18"/>
      <c r="M150" s="17"/>
      <c r="N150" s="17"/>
      <c r="O150" s="22" t="str">
        <f aca="false">IF(COUNTA(J150,K150,N150)=0,"",IF(COUNTA(J150,K150,N150)&lt;3,"Incomplete",IF(OR(K150="No",N150="No",J150&lt;Rules!$B$7,J150&gt;Rules!$B$8),"Not a fit",IF(AND(J150&gt;=Rules!$B$5,J150&lt;=Rules!$B$6,N150="Yes"),"Qualified","Maybe"))))</f>
        <v/>
      </c>
      <c r="P150" s="19"/>
      <c r="Q150" s="17"/>
      <c r="R150" s="17"/>
      <c r="S150" s="17"/>
      <c r="T150" s="17"/>
      <c r="U150" s="23"/>
      <c r="V150" s="17"/>
      <c r="W150" s="21"/>
      <c r="X150" s="18"/>
      <c r="Y150" s="18"/>
      <c r="Z150" s="24" t="str">
        <f aca="false">IF(I150="","",IFERROR(VLOOKUP(I150,Rules!$A$21:$B$30,2,FALSE()),""))</f>
        <v/>
      </c>
    </row>
    <row r="151" customFormat="false" ht="15" hidden="false" customHeight="false" outlineLevel="0" collapsed="false">
      <c r="A151" s="17" t="s">
        <v>249</v>
      </c>
      <c r="B151" s="17"/>
      <c r="C151" s="18"/>
      <c r="D151" s="18"/>
      <c r="E151" s="17"/>
      <c r="F151" s="18"/>
      <c r="G151" s="19"/>
      <c r="H151" s="20" t="str">
        <f aca="false">IF(AND(G151&lt;&gt;"",I151="Contacted"),G151+Rules!$B$17,"")</f>
        <v/>
      </c>
      <c r="I151" s="17"/>
      <c r="J151" s="21"/>
      <c r="K151" s="17"/>
      <c r="L151" s="18"/>
      <c r="M151" s="17"/>
      <c r="N151" s="17"/>
      <c r="O151" s="22" t="str">
        <f aca="false">IF(COUNTA(J151,K151,N151)=0,"",IF(COUNTA(J151,K151,N151)&lt;3,"Incomplete",IF(OR(K151="No",N151="No",J151&lt;Rules!$B$7,J151&gt;Rules!$B$8),"Not a fit",IF(AND(J151&gt;=Rules!$B$5,J151&lt;=Rules!$B$6,N151="Yes"),"Qualified","Maybe"))))</f>
        <v/>
      </c>
      <c r="P151" s="19"/>
      <c r="Q151" s="17"/>
      <c r="R151" s="17"/>
      <c r="S151" s="17"/>
      <c r="T151" s="17"/>
      <c r="U151" s="23"/>
      <c r="V151" s="17"/>
      <c r="W151" s="21"/>
      <c r="X151" s="18"/>
      <c r="Y151" s="18"/>
      <c r="Z151" s="24" t="str">
        <f aca="false">IF(I151="","",IFERROR(VLOOKUP(I151,Rules!$A$21:$B$30,2,FALSE()),""))</f>
        <v/>
      </c>
    </row>
    <row r="152" customFormat="false" ht="15" hidden="false" customHeight="false" outlineLevel="0" collapsed="false">
      <c r="A152" s="17" t="s">
        <v>250</v>
      </c>
      <c r="B152" s="17"/>
      <c r="C152" s="18"/>
      <c r="D152" s="18"/>
      <c r="E152" s="17"/>
      <c r="F152" s="18"/>
      <c r="G152" s="19"/>
      <c r="H152" s="20" t="str">
        <f aca="false">IF(AND(G152&lt;&gt;"",I152="Contacted"),G152+Rules!$B$17,"")</f>
        <v/>
      </c>
      <c r="I152" s="17"/>
      <c r="J152" s="21"/>
      <c r="K152" s="17"/>
      <c r="L152" s="18"/>
      <c r="M152" s="17"/>
      <c r="N152" s="17"/>
      <c r="O152" s="22" t="str">
        <f aca="false">IF(COUNTA(J152,K152,N152)=0,"",IF(COUNTA(J152,K152,N152)&lt;3,"Incomplete",IF(OR(K152="No",N152="No",J152&lt;Rules!$B$7,J152&gt;Rules!$B$8),"Not a fit",IF(AND(J152&gt;=Rules!$B$5,J152&lt;=Rules!$B$6,N152="Yes"),"Qualified","Maybe"))))</f>
        <v/>
      </c>
      <c r="P152" s="19"/>
      <c r="Q152" s="17"/>
      <c r="R152" s="17"/>
      <c r="S152" s="17"/>
      <c r="T152" s="17"/>
      <c r="U152" s="23"/>
      <c r="V152" s="17"/>
      <c r="W152" s="21"/>
      <c r="X152" s="18"/>
      <c r="Y152" s="18"/>
      <c r="Z152" s="24" t="str">
        <f aca="false">IF(I152="","",IFERROR(VLOOKUP(I152,Rules!$A$21:$B$30,2,FALSE()),""))</f>
        <v/>
      </c>
    </row>
    <row r="153" customFormat="false" ht="15" hidden="false" customHeight="false" outlineLevel="0" collapsed="false">
      <c r="A153" s="17" t="s">
        <v>251</v>
      </c>
      <c r="B153" s="17"/>
      <c r="C153" s="18"/>
      <c r="D153" s="18"/>
      <c r="E153" s="17"/>
      <c r="F153" s="18"/>
      <c r="G153" s="19"/>
      <c r="H153" s="20" t="str">
        <f aca="false">IF(AND(G153&lt;&gt;"",I153="Contacted"),G153+Rules!$B$17,"")</f>
        <v/>
      </c>
      <c r="I153" s="17"/>
      <c r="J153" s="21"/>
      <c r="K153" s="17"/>
      <c r="L153" s="18"/>
      <c r="M153" s="17"/>
      <c r="N153" s="17"/>
      <c r="O153" s="22" t="str">
        <f aca="false">IF(COUNTA(J153,K153,N153)=0,"",IF(COUNTA(J153,K153,N153)&lt;3,"Incomplete",IF(OR(K153="No",N153="No",J153&lt;Rules!$B$7,J153&gt;Rules!$B$8),"Not a fit",IF(AND(J153&gt;=Rules!$B$5,J153&lt;=Rules!$B$6,N153="Yes"),"Qualified","Maybe"))))</f>
        <v/>
      </c>
      <c r="P153" s="19"/>
      <c r="Q153" s="17"/>
      <c r="R153" s="17"/>
      <c r="S153" s="17"/>
      <c r="T153" s="17"/>
      <c r="U153" s="23"/>
      <c r="V153" s="17"/>
      <c r="W153" s="21"/>
      <c r="X153" s="18"/>
      <c r="Y153" s="18"/>
      <c r="Z153" s="24" t="str">
        <f aca="false">IF(I153="","",IFERROR(VLOOKUP(I153,Rules!$A$21:$B$30,2,FALSE()),""))</f>
        <v/>
      </c>
    </row>
    <row r="154" customFormat="false" ht="15" hidden="false" customHeight="false" outlineLevel="0" collapsed="false">
      <c r="A154" s="17" t="s">
        <v>252</v>
      </c>
      <c r="B154" s="17"/>
      <c r="C154" s="18"/>
      <c r="D154" s="18"/>
      <c r="E154" s="17"/>
      <c r="F154" s="18"/>
      <c r="G154" s="19"/>
      <c r="H154" s="20" t="str">
        <f aca="false">IF(AND(G154&lt;&gt;"",I154="Contacted"),G154+Rules!$B$17,"")</f>
        <v/>
      </c>
      <c r="I154" s="17"/>
      <c r="J154" s="21"/>
      <c r="K154" s="17"/>
      <c r="L154" s="18"/>
      <c r="M154" s="17"/>
      <c r="N154" s="17"/>
      <c r="O154" s="22" t="str">
        <f aca="false">IF(COUNTA(J154,K154,N154)=0,"",IF(COUNTA(J154,K154,N154)&lt;3,"Incomplete",IF(OR(K154="No",N154="No",J154&lt;Rules!$B$7,J154&gt;Rules!$B$8),"Not a fit",IF(AND(J154&gt;=Rules!$B$5,J154&lt;=Rules!$B$6,N154="Yes"),"Qualified","Maybe"))))</f>
        <v/>
      </c>
      <c r="P154" s="19"/>
      <c r="Q154" s="17"/>
      <c r="R154" s="17"/>
      <c r="S154" s="17"/>
      <c r="T154" s="17"/>
      <c r="U154" s="23"/>
      <c r="V154" s="17"/>
      <c r="W154" s="21"/>
      <c r="X154" s="18"/>
      <c r="Y154" s="18"/>
      <c r="Z154" s="24" t="str">
        <f aca="false">IF(I154="","",IFERROR(VLOOKUP(I154,Rules!$A$21:$B$30,2,FALSE()),""))</f>
        <v/>
      </c>
    </row>
  </sheetData>
  <autoFilter ref="A4:Z154"/>
  <mergeCells count="4">
    <mergeCell ref="A3:I3"/>
    <mergeCell ref="J3:O3"/>
    <mergeCell ref="P3:U3"/>
    <mergeCell ref="V3:Y3"/>
  </mergeCells>
  <conditionalFormatting sqref="O5:O154">
    <cfRule type="cellIs" priority="2" operator="equal" aboveAverage="0" equalAverage="0" bottom="0" percent="0" rank="0" text="" dxfId="6">
      <formula>"Qualified"</formula>
    </cfRule>
    <cfRule type="cellIs" priority="3" operator="equal" aboveAverage="0" equalAverage="0" bottom="0" percent="0" rank="0" text="" dxfId="7">
      <formula>"Maybe"</formula>
    </cfRule>
    <cfRule type="cellIs" priority="4" operator="equal" aboveAverage="0" equalAverage="0" bottom="0" percent="0" rank="0" text="" dxfId="8">
      <formula>"Not a fit"</formula>
    </cfRule>
    <cfRule type="cellIs" priority="5" operator="equal" aboveAverage="0" equalAverage="0" bottom="0" percent="0" rank="0" text="" dxfId="9">
      <formula>"Incomplete"</formula>
    </cfRule>
  </conditionalFormatting>
  <conditionalFormatting sqref="H5:H154">
    <cfRule type="expression" priority="6" aboveAverage="0" equalAverage="0" bottom="0" percent="0" rank="0" text="" dxfId="10">
      <formula>AND(H5&lt;&gt;"",H5&lt;=TODAY())</formula>
    </cfRule>
  </conditionalFormatting>
  <conditionalFormatting sqref="I5:I154">
    <cfRule type="cellIs" priority="7" operator="equal" aboveAverage="0" equalAverage="0" bottom="0" percent="0" rank="0" text="" dxfId="6">
      <formula>"Pilot signed"</formula>
    </cfRule>
    <cfRule type="cellIs" priority="8" operator="equal" aboveAverage="0" equalAverage="0" bottom="0" percent="0" rank="0" text="" dxfId="11">
      <formula>"Declined"</formula>
    </cfRule>
    <cfRule type="cellIs" priority="9" operator="equal" aboveAverage="0" equalAverage="0" bottom="0" percent="0" rank="0" text="" dxfId="11">
      <formula>"Not a fit"</formula>
    </cfRule>
    <cfRule type="cellIs" priority="10" operator="equal" aboveAverage="0" equalAverage="0" bottom="0" percent="0" rank="0" text="" dxfId="11">
      <formula>"No response"</formula>
    </cfRule>
  </conditionalFormatting>
  <dataValidations count="14">
    <dataValidation allowBlank="true" error="Choose an option from the dropdown (edit lists on the Rules sheet)." errorStyle="stop" errorTitle="Pick from the list" operator="between" showDropDown="false" showErrorMessage="true" showInputMessage="false" sqref="D5:D154" type="list">
      <formula1>Rules!$D$21:$D$35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E5:E154" type="list">
      <formula1>Rules!$F$21:$F$27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I5:I154" type="list">
      <formula1>Rules!$A$21:$A$30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K5:K154" type="list">
      <formula1>Rules!$H$21:$H$23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M5:M154" type="list">
      <formula1>Rules!$J$21:$J$25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N5:N154" type="list">
      <formula1>Rules!$I$21:$I$23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Q5:Q154" type="list">
      <formula1>Rules!$M$21:$M$22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R5:R154" type="list">
      <formula1>Rules!$I$21:$I$23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S5:S154" type="list">
      <formula1>Rules!$K$21:$K$24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T5:T154" type="list">
      <formula1>Rules!$L$21:$L$23</formula1>
      <formula2>0</formula2>
    </dataValidation>
    <dataValidation allowBlank="true" error="Choose an option from the dropdown (edit lists on the Rules sheet)." errorStyle="stop" errorTitle="Pick from the list" operator="between" showDropDown="false" showErrorMessage="true" showInputMessage="false" sqref="V5:V154" type="list">
      <formula1>Rules!$M$21:$M$22</formula1>
      <formula2>0</formula2>
    </dataValidation>
    <dataValidation allowBlank="true" error="Enter a number of zero or more." errorStyle="stop" errorTitle="Number needed" operator="greaterThanOrEqual" showDropDown="false" showErrorMessage="true" showInputMessage="false" sqref="J5:J154 W5:W154" type="whole">
      <formula1>0</formula1>
      <formula2>0</formula2>
    </dataValidation>
    <dataValidation allowBlank="true" error="Enter a number of zero or more." errorStyle="stop" errorTitle="Number needed" operator="greaterThanOrEqual" showDropDown="false" showErrorMessage="true" showInputMessage="false" sqref="U5:U154" type="decimal">
      <formula1>0</formula1>
      <formula2>0</formula2>
    </dataValidation>
    <dataValidation allowBlank="true" error="Enter a date, for example 10/1/2026." errorStyle="stop" errorTitle="Date needed" operator="greaterThan" showDropDown="false" showErrorMessage="true" showInputMessage="false" sqref="G5:G154 P5:P15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9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3" t="s">
        <v>255</v>
      </c>
      <c r="B4" s="4"/>
      <c r="C4" s="4"/>
      <c r="D4" s="4"/>
      <c r="E4" s="4"/>
      <c r="F4" s="4"/>
    </row>
    <row r="5" customFormat="false" ht="23.85" hidden="false" customHeight="false" outlineLevel="0" collapsed="false">
      <c r="A5" s="25" t="s">
        <v>256</v>
      </c>
      <c r="B5" s="25" t="s">
        <v>257</v>
      </c>
      <c r="C5" s="25" t="s">
        <v>258</v>
      </c>
      <c r="D5" s="25" t="s">
        <v>259</v>
      </c>
    </row>
    <row r="6" customFormat="false" ht="15" hidden="false" customHeight="false" outlineLevel="0" collapsed="false">
      <c r="A6" s="26" t="s">
        <v>260</v>
      </c>
      <c r="B6" s="27" t="n">
        <f aca="false">COUNTA(Tracker!$B$5:$B$154)</f>
        <v>0</v>
      </c>
      <c r="C6" s="28" t="s">
        <v>261</v>
      </c>
      <c r="D6" s="28" t="s">
        <v>261</v>
      </c>
    </row>
    <row r="7" customFormat="false" ht="15" hidden="false" customHeight="false" outlineLevel="0" collapsed="false">
      <c r="A7" s="26" t="s">
        <v>262</v>
      </c>
      <c r="B7" s="27" t="n">
        <f aca="false">COUNTIF(Tracker!$Z$5:$Z$154,"&gt;=1")</f>
        <v>0</v>
      </c>
      <c r="C7" s="28" t="str">
        <f aca="false">IFERROR(B7/$B$7,"-")</f>
        <v>-</v>
      </c>
      <c r="D7" s="28" t="str">
        <f aca="false">IFERROR(B7/B6,"-")</f>
        <v>-</v>
      </c>
    </row>
    <row r="8" customFormat="false" ht="15" hidden="false" customHeight="false" outlineLevel="0" collapsed="false">
      <c r="A8" s="26" t="s">
        <v>263</v>
      </c>
      <c r="B8" s="27" t="n">
        <f aca="false">COUNTIF(Tracker!$Z$5:$Z$154,"&gt;=2")</f>
        <v>0</v>
      </c>
      <c r="C8" s="28" t="str">
        <f aca="false">IFERROR(B8/$B$7,"-")</f>
        <v>-</v>
      </c>
      <c r="D8" s="28" t="str">
        <f aca="false">IFERROR(B8/B7,"-")</f>
        <v>-</v>
      </c>
    </row>
    <row r="9" customFormat="false" ht="15" hidden="false" customHeight="false" outlineLevel="0" collapsed="false">
      <c r="A9" s="26" t="s">
        <v>264</v>
      </c>
      <c r="B9" s="27" t="n">
        <f aca="false">COUNTIF(Tracker!$Z$5:$Z$154,"&gt;=3")</f>
        <v>0</v>
      </c>
      <c r="C9" s="28" t="str">
        <f aca="false">IFERROR(B9/$B$7,"-")</f>
        <v>-</v>
      </c>
      <c r="D9" s="28" t="str">
        <f aca="false">IFERROR(B9/B8,"-")</f>
        <v>-</v>
      </c>
    </row>
    <row r="10" customFormat="false" ht="15" hidden="false" customHeight="false" outlineLevel="0" collapsed="false">
      <c r="A10" s="26" t="s">
        <v>265</v>
      </c>
      <c r="B10" s="27" t="n">
        <f aca="false">COUNTIF(Tracker!$Z$5:$Z$154,"&gt;=4")</f>
        <v>0</v>
      </c>
      <c r="C10" s="28" t="str">
        <f aca="false">IFERROR(B10/$B$7,"-")</f>
        <v>-</v>
      </c>
      <c r="D10" s="28" t="str">
        <f aca="false">IFERROR(B10/B9,"-")</f>
        <v>-</v>
      </c>
    </row>
    <row r="11" customFormat="false" ht="15" hidden="false" customHeight="false" outlineLevel="0" collapsed="false">
      <c r="A11" s="26" t="s">
        <v>266</v>
      </c>
      <c r="B11" s="27" t="n">
        <f aca="false">COUNTIF(Tracker!$Z$5:$Z$154,"&gt;=5")</f>
        <v>0</v>
      </c>
      <c r="C11" s="28" t="str">
        <f aca="false">IFERROR(B11/$B$7,"-")</f>
        <v>-</v>
      </c>
      <c r="D11" s="28" t="str">
        <f aca="false">IFERROR(B11/B10,"-")</f>
        <v>-</v>
      </c>
    </row>
    <row r="12" customFormat="false" ht="15" hidden="false" customHeight="false" outlineLevel="0" collapsed="false">
      <c r="A12" s="26" t="s">
        <v>267</v>
      </c>
      <c r="B12" s="27" t="n">
        <f aca="false">COUNTIF(Tracker!$Z$5:$Z$154,"&gt;=6")</f>
        <v>0</v>
      </c>
      <c r="C12" s="28" t="str">
        <f aca="false">IFERROR(B12/$B$7,"-")</f>
        <v>-</v>
      </c>
      <c r="D12" s="28" t="str">
        <f aca="false">IFERROR(B12/B11,"-")</f>
        <v>-</v>
      </c>
    </row>
    <row r="14" customFormat="false" ht="15" hidden="false" customHeight="false" outlineLevel="0" collapsed="false">
      <c r="A14" s="26" t="s">
        <v>268</v>
      </c>
      <c r="B14" s="29" t="str">
        <f aca="false">IFERROR(B7/B10,"-")</f>
        <v>-</v>
      </c>
    </row>
    <row r="15" customFormat="false" ht="15" hidden="false" customHeight="false" outlineLevel="0" collapsed="false">
      <c r="A15" s="26" t="s">
        <v>269</v>
      </c>
      <c r="B15" s="27" t="n">
        <f aca="true">COUNTIF(Tracker!$H$5:$H$154,"&lt;="&amp;TODAY())</f>
        <v>0</v>
      </c>
    </row>
    <row r="17" customFormat="false" ht="15" hidden="false" customHeight="false" outlineLevel="0" collapsed="false">
      <c r="A17" s="3" t="s">
        <v>270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25" t="s">
        <v>271</v>
      </c>
      <c r="B18" s="25" t="s">
        <v>272</v>
      </c>
      <c r="C18" s="25" t="s">
        <v>273</v>
      </c>
      <c r="D18" s="25" t="s">
        <v>274</v>
      </c>
    </row>
    <row r="19" customFormat="false" ht="15" hidden="false" customHeight="false" outlineLevel="0" collapsed="false">
      <c r="A19" s="26" t="s">
        <v>275</v>
      </c>
      <c r="B19" s="27" t="n">
        <f aca="false">B10</f>
        <v>0</v>
      </c>
      <c r="C19" s="27" t="n">
        <f aca="false">Rules!B11</f>
        <v>10</v>
      </c>
      <c r="D19" s="30" t="str">
        <f aca="false">IF(B19&gt;=C19,"Yes","Not yet")</f>
        <v>Not yet</v>
      </c>
    </row>
    <row r="20" customFormat="false" ht="15" hidden="false" customHeight="false" outlineLevel="0" collapsed="false">
      <c r="A20" s="26" t="s">
        <v>276</v>
      </c>
      <c r="B20" s="27" t="n">
        <f aca="false">COUNTIFS(Tracker!$Q$5:$Q$154,"Yes",Tracker!$Z$5:$Z$154,"&gt;=4")</f>
        <v>0</v>
      </c>
      <c r="C20" s="27" t="n">
        <f aca="false">Rules!B12</f>
        <v>4</v>
      </c>
      <c r="D20" s="30" t="str">
        <f aca="false">IF(B20&gt;=C20,"Yes","Not yet")</f>
        <v>Not yet</v>
      </c>
    </row>
    <row r="21" customFormat="false" ht="15" hidden="false" customHeight="false" outlineLevel="0" collapsed="false">
      <c r="A21" s="26" t="s">
        <v>277</v>
      </c>
      <c r="B21" s="27" t="n">
        <f aca="false">COUNTIFS(Tracker!$T$5:$T$154,"Yes",Tracker!$Z$5:$Z$154,"&gt;=4")</f>
        <v>0</v>
      </c>
      <c r="C21" s="27" t="n">
        <f aca="false">Rules!B13</f>
        <v>2</v>
      </c>
      <c r="D21" s="30" t="str">
        <f aca="false">IF(B21&gt;=C21,"Yes","Not yet")</f>
        <v>Not yet</v>
      </c>
    </row>
    <row r="22" customFormat="false" ht="15" hidden="false" customHeight="false" outlineLevel="0" collapsed="false">
      <c r="A22" s="26" t="s">
        <v>278</v>
      </c>
      <c r="B22" s="31" t="str">
        <f aca="false">IF(D19="Not yet","Keep interviewing ("&amp;(C19-B19)&amp;" to go)",IF(AND(D20="Yes",D21="Yes"),"Rule met: proceed to pilots","Rule not met: review findings before building"))</f>
        <v>Keep interviewing (10 to go)</v>
      </c>
      <c r="C22" s="31"/>
      <c r="D22" s="31"/>
    </row>
    <row r="23" customFormat="false" ht="15" hidden="false" customHeight="false" outlineLevel="0" collapsed="false">
      <c r="A23" s="2" t="s">
        <v>279</v>
      </c>
    </row>
    <row r="25" customFormat="false" ht="15" hidden="false" customHeight="false" outlineLevel="0" collapsed="false">
      <c r="A25" s="3" t="s">
        <v>280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26" t="s">
        <v>281</v>
      </c>
      <c r="B26" s="27" t="n">
        <f aca="false">COUNTIFS(Tracker!$R$5:$R$154,"Yes",Tracker!$Z$5:$Z$154,"&gt;=4")</f>
        <v>0</v>
      </c>
      <c r="C26" s="27"/>
      <c r="D26" s="27"/>
    </row>
    <row r="27" customFormat="false" ht="15" hidden="false" customHeight="false" outlineLevel="0" collapsed="false">
      <c r="A27" s="26" t="s">
        <v>282</v>
      </c>
      <c r="B27" s="28" t="str">
        <f aca="false">IFERROR(B26/B10,"-")</f>
        <v>-</v>
      </c>
      <c r="C27" s="27"/>
      <c r="D27" s="27"/>
    </row>
    <row r="28" customFormat="false" ht="15" hidden="false" customHeight="false" outlineLevel="0" collapsed="false">
      <c r="A28" s="26" t="s">
        <v>283</v>
      </c>
      <c r="B28" s="30" t="str">
        <f aca="false">IF(B10=0,"-",IF(B27&gt;Rules!B14,"Most say yes: consider scoping payments earlier (roadmap stop signal)","Not a majority"))</f>
        <v>-</v>
      </c>
      <c r="C28" s="30"/>
      <c r="D28" s="30"/>
    </row>
    <row r="30" customFormat="false" ht="15" hidden="false" customHeight="false" outlineLevel="0" collapsed="false">
      <c r="A30" s="3" t="s">
        <v>284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25" t="s">
        <v>285</v>
      </c>
      <c r="B31" s="25" t="s">
        <v>257</v>
      </c>
      <c r="C31" s="25" t="s">
        <v>286</v>
      </c>
    </row>
    <row r="32" customFormat="false" ht="15" hidden="false" customHeight="false" outlineLevel="0" collapsed="false">
      <c r="A32" s="26" t="str">
        <f aca="false">Rules!K21</f>
        <v>Hosted</v>
      </c>
      <c r="B32" s="27" t="n">
        <f aca="false">COUNTIFS(Tracker!$S$5:$S$154,A32,Tracker!$Z$5:$Z$154,"&gt;=4")</f>
        <v>0</v>
      </c>
      <c r="C32" s="28" t="str">
        <f aca="false">IFERROR(B32/$B$10,"-")</f>
        <v>-</v>
      </c>
    </row>
    <row r="33" customFormat="false" ht="15" hidden="false" customHeight="false" outlineLevel="0" collapsed="false">
      <c r="A33" s="26" t="str">
        <f aca="false">Rules!K22</f>
        <v>Local</v>
      </c>
      <c r="B33" s="27" t="n">
        <f aca="false">COUNTIFS(Tracker!$S$5:$S$154,A33,Tracker!$Z$5:$Z$154,"&gt;=4")</f>
        <v>0</v>
      </c>
      <c r="C33" s="28" t="str">
        <f aca="false">IFERROR(B33/$B$10,"-")</f>
        <v>-</v>
      </c>
    </row>
    <row r="34" customFormat="false" ht="15" hidden="false" customHeight="false" outlineLevel="0" collapsed="false">
      <c r="A34" s="26" t="str">
        <f aca="false">Rules!K23</f>
        <v>Either</v>
      </c>
      <c r="B34" s="27" t="n">
        <f aca="false">COUNTIFS(Tracker!$S$5:$S$154,A34,Tracker!$Z$5:$Z$154,"&gt;=4")</f>
        <v>0</v>
      </c>
      <c r="C34" s="28" t="str">
        <f aca="false">IFERROR(B34/$B$10,"-")</f>
        <v>-</v>
      </c>
    </row>
    <row r="35" customFormat="false" ht="15" hidden="false" customHeight="false" outlineLevel="0" collapsed="false">
      <c r="A35" s="26" t="str">
        <f aca="false">Rules!K24</f>
        <v>Unsure</v>
      </c>
      <c r="B35" s="27" t="n">
        <f aca="false">COUNTIFS(Tracker!$S$5:$S$154,A35,Tracker!$Z$5:$Z$154,"&gt;=4")</f>
        <v>0</v>
      </c>
      <c r="C35" s="28" t="str">
        <f aca="false">IFERROR(B35/$B$10,"-")</f>
        <v>-</v>
      </c>
    </row>
    <row r="36" customFormat="false" ht="15" hidden="false" customHeight="false" outlineLevel="0" collapsed="false">
      <c r="A36" s="2" t="s">
        <v>287</v>
      </c>
    </row>
    <row r="38" customFormat="false" ht="15" hidden="false" customHeight="false" outlineLevel="0" collapsed="false">
      <c r="A38" s="3" t="s">
        <v>288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26" t="s">
        <v>289</v>
      </c>
      <c r="B39" s="32" t="str">
        <f aca="false">IFERROR(MEDIAN(Tracker!$U$5:$U$154),"-")</f>
        <v>-</v>
      </c>
    </row>
    <row r="40" customFormat="false" ht="15" hidden="false" customHeight="false" outlineLevel="0" collapsed="false">
      <c r="A40" s="26" t="s">
        <v>290</v>
      </c>
      <c r="B40" s="32" t="str">
        <f aca="false">IFERROR(AVERAGE(Tracker!$U$5:$U$154),"-")</f>
        <v>-</v>
      </c>
    </row>
    <row r="41" customFormat="false" ht="15" hidden="false" customHeight="false" outlineLevel="0" collapsed="false">
      <c r="A41" s="26" t="s">
        <v>291</v>
      </c>
      <c r="B41" s="27" t="n">
        <f aca="false">COUNT(Tracker!$U$5:$U$154)</f>
        <v>0</v>
      </c>
    </row>
    <row r="43" customFormat="false" ht="15" hidden="false" customHeight="false" outlineLevel="0" collapsed="false">
      <c r="A43" s="3" t="s">
        <v>292</v>
      </c>
      <c r="B43" s="4"/>
      <c r="C43" s="4"/>
      <c r="D43" s="4"/>
      <c r="E43" s="4"/>
      <c r="F43" s="4"/>
    </row>
    <row r="44" customFormat="false" ht="15" hidden="false" customHeight="false" outlineLevel="0" collapsed="false">
      <c r="A44" s="25" t="s">
        <v>26</v>
      </c>
      <c r="B44" s="25" t="s">
        <v>293</v>
      </c>
      <c r="C44" s="25" t="s">
        <v>262</v>
      </c>
      <c r="D44" s="25" t="s">
        <v>263</v>
      </c>
      <c r="E44" s="25" t="s">
        <v>265</v>
      </c>
      <c r="F44" s="25" t="s">
        <v>294</v>
      </c>
    </row>
    <row r="45" customFormat="false" ht="15" hidden="false" customHeight="false" outlineLevel="0" collapsed="false">
      <c r="A45" s="26" t="str">
        <f aca="false">Rules!D21</f>
        <v>Referral: accountant / bookkeeper</v>
      </c>
      <c r="B45" s="27" t="n">
        <f aca="false">COUNTIF(Tracker!$D$5:$D$154,A45)</f>
        <v>0</v>
      </c>
      <c r="C45" s="27" t="n">
        <f aca="false">COUNTIFS(Tracker!$D$5:$D$154,A45,Tracker!$Z$5:$Z$154,"&gt;=1")</f>
        <v>0</v>
      </c>
      <c r="D45" s="27" t="n">
        <f aca="false">COUNTIFS(Tracker!$D$5:$D$154,A45,Tracker!$Z$5:$Z$154,"&gt;=2")</f>
        <v>0</v>
      </c>
      <c r="E45" s="27" t="n">
        <f aca="false">COUNTIFS(Tracker!$D$5:$D$154,A45,Tracker!$Z$5:$Z$154,"&gt;=4")</f>
        <v>0</v>
      </c>
      <c r="F45" s="28" t="str">
        <f aca="false">IFERROR(D45/C45,"-")</f>
        <v>-</v>
      </c>
    </row>
    <row r="46" customFormat="false" ht="15" hidden="false" customHeight="false" outlineLevel="0" collapsed="false">
      <c r="A46" s="26" t="str">
        <f aca="false">Rules!D22</f>
        <v>Referral: contractor / vendor</v>
      </c>
      <c r="B46" s="27" t="n">
        <f aca="false">COUNTIF(Tracker!$D$5:$D$154,A46)</f>
        <v>0</v>
      </c>
      <c r="C46" s="27" t="n">
        <f aca="false">COUNTIFS(Tracker!$D$5:$D$154,A46,Tracker!$Z$5:$Z$154,"&gt;=1")</f>
        <v>0</v>
      </c>
      <c r="D46" s="27" t="n">
        <f aca="false">COUNTIFS(Tracker!$D$5:$D$154,A46,Tracker!$Z$5:$Z$154,"&gt;=2")</f>
        <v>0</v>
      </c>
      <c r="E46" s="27" t="n">
        <f aca="false">COUNTIFS(Tracker!$D$5:$D$154,A46,Tracker!$Z$5:$Z$154,"&gt;=4")</f>
        <v>0</v>
      </c>
      <c r="F46" s="28" t="str">
        <f aca="false">IFERROR(D46/C46,"-")</f>
        <v>-</v>
      </c>
    </row>
    <row r="47" customFormat="false" ht="15" hidden="false" customHeight="false" outlineLevel="0" collapsed="false">
      <c r="A47" s="26" t="str">
        <f aca="false">Rules!D23</f>
        <v>Referral: agent / broker / lender</v>
      </c>
      <c r="B47" s="27" t="n">
        <f aca="false">COUNTIF(Tracker!$D$5:$D$154,A47)</f>
        <v>0</v>
      </c>
      <c r="C47" s="27" t="n">
        <f aca="false">COUNTIFS(Tracker!$D$5:$D$154,A47,Tracker!$Z$5:$Z$154,"&gt;=1")</f>
        <v>0</v>
      </c>
      <c r="D47" s="27" t="n">
        <f aca="false">COUNTIFS(Tracker!$D$5:$D$154,A47,Tracker!$Z$5:$Z$154,"&gt;=2")</f>
        <v>0</v>
      </c>
      <c r="E47" s="27" t="n">
        <f aca="false">COUNTIFS(Tracker!$D$5:$D$154,A47,Tracker!$Z$5:$Z$154,"&gt;=4")</f>
        <v>0</v>
      </c>
      <c r="F47" s="28" t="str">
        <f aca="false">IFERROR(D47/C47,"-")</f>
        <v>-</v>
      </c>
    </row>
    <row r="48" customFormat="false" ht="15" hidden="false" customHeight="false" outlineLevel="0" collapsed="false">
      <c r="A48" s="26" t="str">
        <f aca="false">Rules!D24</f>
        <v>Referral: interviewee</v>
      </c>
      <c r="B48" s="27" t="n">
        <f aca="false">COUNTIF(Tracker!$D$5:$D$154,A48)</f>
        <v>0</v>
      </c>
      <c r="C48" s="27" t="n">
        <f aca="false">COUNTIFS(Tracker!$D$5:$D$154,A48,Tracker!$Z$5:$Z$154,"&gt;=1")</f>
        <v>0</v>
      </c>
      <c r="D48" s="27" t="n">
        <f aca="false">COUNTIFS(Tracker!$D$5:$D$154,A48,Tracker!$Z$5:$Z$154,"&gt;=2")</f>
        <v>0</v>
      </c>
      <c r="E48" s="27" t="n">
        <f aca="false">COUNTIFS(Tracker!$D$5:$D$154,A48,Tracker!$Z$5:$Z$154,"&gt;=4")</f>
        <v>0</v>
      </c>
      <c r="F48" s="28" t="str">
        <f aca="false">IFERROR(D48/C48,"-")</f>
        <v>-</v>
      </c>
    </row>
    <row r="49" customFormat="false" ht="15" hidden="false" customHeight="false" outlineLevel="0" collapsed="false">
      <c r="A49" s="26" t="str">
        <f aca="false">Rules!D25</f>
        <v>Personal network</v>
      </c>
      <c r="B49" s="27" t="n">
        <f aca="false">COUNTIF(Tracker!$D$5:$D$154,A49)</f>
        <v>0</v>
      </c>
      <c r="C49" s="27" t="n">
        <f aca="false">COUNTIFS(Tracker!$D$5:$D$154,A49,Tracker!$Z$5:$Z$154,"&gt;=1")</f>
        <v>0</v>
      </c>
      <c r="D49" s="27" t="n">
        <f aca="false">COUNTIFS(Tracker!$D$5:$D$154,A49,Tracker!$Z$5:$Z$154,"&gt;=2")</f>
        <v>0</v>
      </c>
      <c r="E49" s="27" t="n">
        <f aca="false">COUNTIFS(Tracker!$D$5:$D$154,A49,Tracker!$Z$5:$Z$154,"&gt;=4")</f>
        <v>0</v>
      </c>
      <c r="F49" s="28" t="str">
        <f aca="false">IFERROR(D49/C49,"-")</f>
        <v>-</v>
      </c>
    </row>
    <row r="50" customFormat="false" ht="15" hidden="false" customHeight="false" outlineLevel="0" collapsed="false">
      <c r="A50" s="26" t="str">
        <f aca="false">Rules!D26</f>
        <v>NARPM</v>
      </c>
      <c r="B50" s="27" t="n">
        <f aca="false">COUNTIF(Tracker!$D$5:$D$154,A50)</f>
        <v>0</v>
      </c>
      <c r="C50" s="27" t="n">
        <f aca="false">COUNTIFS(Tracker!$D$5:$D$154,A50,Tracker!$Z$5:$Z$154,"&gt;=1")</f>
        <v>0</v>
      </c>
      <c r="D50" s="27" t="n">
        <f aca="false">COUNTIFS(Tracker!$D$5:$D$154,A50,Tracker!$Z$5:$Z$154,"&gt;=2")</f>
        <v>0</v>
      </c>
      <c r="E50" s="27" t="n">
        <f aca="false">COUNTIFS(Tracker!$D$5:$D$154,A50,Tracker!$Z$5:$Z$154,"&gt;=4")</f>
        <v>0</v>
      </c>
      <c r="F50" s="28" t="str">
        <f aca="false">IFERROR(D50/C50,"-")</f>
        <v>-</v>
      </c>
    </row>
    <row r="51" customFormat="false" ht="15" hidden="false" customHeight="false" outlineLevel="0" collapsed="false">
      <c r="A51" s="26" t="str">
        <f aca="false">Rules!D27</f>
        <v>Investor association (REIA)</v>
      </c>
      <c r="B51" s="27" t="n">
        <f aca="false">COUNTIF(Tracker!$D$5:$D$154,A51)</f>
        <v>0</v>
      </c>
      <c r="C51" s="27" t="n">
        <f aca="false">COUNTIFS(Tracker!$D$5:$D$154,A51,Tracker!$Z$5:$Z$154,"&gt;=1")</f>
        <v>0</v>
      </c>
      <c r="D51" s="27" t="n">
        <f aca="false">COUNTIFS(Tracker!$D$5:$D$154,A51,Tracker!$Z$5:$Z$154,"&gt;=2")</f>
        <v>0</v>
      </c>
      <c r="E51" s="27" t="n">
        <f aca="false">COUNTIFS(Tracker!$D$5:$D$154,A51,Tracker!$Z$5:$Z$154,"&gt;=4")</f>
        <v>0</v>
      </c>
      <c r="F51" s="28" t="str">
        <f aca="false">IFERROR(D51/C51,"-")</f>
        <v>-</v>
      </c>
    </row>
    <row r="52" customFormat="false" ht="15" hidden="false" customHeight="false" outlineLevel="0" collapsed="false">
      <c r="A52" s="26" t="str">
        <f aca="false">Rules!D28</f>
        <v>Landlord / apartment association</v>
      </c>
      <c r="B52" s="27" t="n">
        <f aca="false">COUNTIF(Tracker!$D$5:$D$154,A52)</f>
        <v>0</v>
      </c>
      <c r="C52" s="27" t="n">
        <f aca="false">COUNTIFS(Tracker!$D$5:$D$154,A52,Tracker!$Z$5:$Z$154,"&gt;=1")</f>
        <v>0</v>
      </c>
      <c r="D52" s="27" t="n">
        <f aca="false">COUNTIFS(Tracker!$D$5:$D$154,A52,Tracker!$Z$5:$Z$154,"&gt;=2")</f>
        <v>0</v>
      </c>
      <c r="E52" s="27" t="n">
        <f aca="false">COUNTIFS(Tracker!$D$5:$D$154,A52,Tracker!$Z$5:$Z$154,"&gt;=4")</f>
        <v>0</v>
      </c>
      <c r="F52" s="28" t="str">
        <f aca="false">IFERROR(D52/C52,"-")</f>
        <v>-</v>
      </c>
    </row>
    <row r="53" customFormat="false" ht="15" hidden="false" customHeight="false" outlineLevel="0" collapsed="false">
      <c r="A53" s="26" t="str">
        <f aca="false">Rules!D29</f>
        <v>BiggerPockets</v>
      </c>
      <c r="B53" s="27" t="n">
        <f aca="false">COUNTIF(Tracker!$D$5:$D$154,A53)</f>
        <v>0</v>
      </c>
      <c r="C53" s="27" t="n">
        <f aca="false">COUNTIFS(Tracker!$D$5:$D$154,A53,Tracker!$Z$5:$Z$154,"&gt;=1")</f>
        <v>0</v>
      </c>
      <c r="D53" s="27" t="n">
        <f aca="false">COUNTIFS(Tracker!$D$5:$D$154,A53,Tracker!$Z$5:$Z$154,"&gt;=2")</f>
        <v>0</v>
      </c>
      <c r="E53" s="27" t="n">
        <f aca="false">COUNTIFS(Tracker!$D$5:$D$154,A53,Tracker!$Z$5:$Z$154,"&gt;=4")</f>
        <v>0</v>
      </c>
      <c r="F53" s="28" t="str">
        <f aca="false">IFERROR(D53/C53,"-")</f>
        <v>-</v>
      </c>
    </row>
    <row r="54" customFormat="false" ht="15" hidden="false" customHeight="false" outlineLevel="0" collapsed="false">
      <c r="A54" s="26" t="str">
        <f aca="false">Rules!D30</f>
        <v>Reddit</v>
      </c>
      <c r="B54" s="27" t="n">
        <f aca="false">COUNTIF(Tracker!$D$5:$D$154,A54)</f>
        <v>0</v>
      </c>
      <c r="C54" s="27" t="n">
        <f aca="false">COUNTIFS(Tracker!$D$5:$D$154,A54,Tracker!$Z$5:$Z$154,"&gt;=1")</f>
        <v>0</v>
      </c>
      <c r="D54" s="27" t="n">
        <f aca="false">COUNTIFS(Tracker!$D$5:$D$154,A54,Tracker!$Z$5:$Z$154,"&gt;=2")</f>
        <v>0</v>
      </c>
      <c r="E54" s="27" t="n">
        <f aca="false">COUNTIFS(Tracker!$D$5:$D$154,A54,Tracker!$Z$5:$Z$154,"&gt;=4")</f>
        <v>0</v>
      </c>
      <c r="F54" s="28" t="str">
        <f aca="false">IFERROR(D54/C54,"-")</f>
        <v>-</v>
      </c>
    </row>
    <row r="55" customFormat="false" ht="15" hidden="false" customHeight="false" outlineLevel="0" collapsed="false">
      <c r="A55" s="26" t="str">
        <f aca="false">Rules!D31</f>
        <v>Facebook group</v>
      </c>
      <c r="B55" s="27" t="n">
        <f aca="false">COUNTIF(Tracker!$D$5:$D$154,A55)</f>
        <v>0</v>
      </c>
      <c r="C55" s="27" t="n">
        <f aca="false">COUNTIFS(Tracker!$D$5:$D$154,A55,Tracker!$Z$5:$Z$154,"&gt;=1")</f>
        <v>0</v>
      </c>
      <c r="D55" s="27" t="n">
        <f aca="false">COUNTIFS(Tracker!$D$5:$D$154,A55,Tracker!$Z$5:$Z$154,"&gt;=2")</f>
        <v>0</v>
      </c>
      <c r="E55" s="27" t="n">
        <f aca="false">COUNTIFS(Tracker!$D$5:$D$154,A55,Tracker!$Z$5:$Z$154,"&gt;=4")</f>
        <v>0</v>
      </c>
      <c r="F55" s="28" t="str">
        <f aca="false">IFERROR(D55/C55,"-")</f>
        <v>-</v>
      </c>
    </row>
    <row r="56" customFormat="false" ht="15" hidden="false" customHeight="false" outlineLevel="0" collapsed="false">
      <c r="A56" s="26" t="str">
        <f aca="false">Rules!D32</f>
        <v>LinkedIn</v>
      </c>
      <c r="B56" s="27" t="n">
        <f aca="false">COUNTIF(Tracker!$D$5:$D$154,A56)</f>
        <v>0</v>
      </c>
      <c r="C56" s="27" t="n">
        <f aca="false">COUNTIFS(Tracker!$D$5:$D$154,A56,Tracker!$Z$5:$Z$154,"&gt;=1")</f>
        <v>0</v>
      </c>
      <c r="D56" s="27" t="n">
        <f aca="false">COUNTIFS(Tracker!$D$5:$D$154,A56,Tracker!$Z$5:$Z$154,"&gt;=2")</f>
        <v>0</v>
      </c>
      <c r="E56" s="27" t="n">
        <f aca="false">COUNTIFS(Tracker!$D$5:$D$154,A56,Tracker!$Z$5:$Z$154,"&gt;=4")</f>
        <v>0</v>
      </c>
      <c r="F56" s="28" t="str">
        <f aca="false">IFERROR(D56/C56,"-")</f>
        <v>-</v>
      </c>
    </row>
    <row r="57" customFormat="false" ht="15" hidden="false" customHeight="false" outlineLevel="0" collapsed="false">
      <c r="A57" s="26" t="str">
        <f aca="false">Rules!D33</f>
        <v>Google Maps / Yelp</v>
      </c>
      <c r="B57" s="27" t="n">
        <f aca="false">COUNTIF(Tracker!$D$5:$D$154,A57)</f>
        <v>0</v>
      </c>
      <c r="C57" s="27" t="n">
        <f aca="false">COUNTIFS(Tracker!$D$5:$D$154,A57,Tracker!$Z$5:$Z$154,"&gt;=1")</f>
        <v>0</v>
      </c>
      <c r="D57" s="27" t="n">
        <f aca="false">COUNTIFS(Tracker!$D$5:$D$154,A57,Tracker!$Z$5:$Z$154,"&gt;=2")</f>
        <v>0</v>
      </c>
      <c r="E57" s="27" t="n">
        <f aca="false">COUNTIFS(Tracker!$D$5:$D$154,A57,Tracker!$Z$5:$Z$154,"&gt;=4")</f>
        <v>0</v>
      </c>
      <c r="F57" s="28" t="str">
        <f aca="false">IFERROR(D57/C57,"-")</f>
        <v>-</v>
      </c>
    </row>
    <row r="58" customFormat="false" ht="15" hidden="false" customHeight="false" outlineLevel="0" collapsed="false">
      <c r="A58" s="26" t="str">
        <f aca="false">Rules!D34</f>
        <v>State license lookup</v>
      </c>
      <c r="B58" s="27" t="n">
        <f aca="false">COUNTIF(Tracker!$D$5:$D$154,A58)</f>
        <v>0</v>
      </c>
      <c r="C58" s="27" t="n">
        <f aca="false">COUNTIFS(Tracker!$D$5:$D$154,A58,Tracker!$Z$5:$Z$154,"&gt;=1")</f>
        <v>0</v>
      </c>
      <c r="D58" s="27" t="n">
        <f aca="false">COUNTIFS(Tracker!$D$5:$D$154,A58,Tracker!$Z$5:$Z$154,"&gt;=2")</f>
        <v>0</v>
      </c>
      <c r="E58" s="27" t="n">
        <f aca="false">COUNTIFS(Tracker!$D$5:$D$154,A58,Tracker!$Z$5:$Z$154,"&gt;=4")</f>
        <v>0</v>
      </c>
      <c r="F58" s="28" t="str">
        <f aca="false">IFERROR(D58/C58,"-")</f>
        <v>-</v>
      </c>
    </row>
    <row r="59" customFormat="false" ht="15" hidden="false" customHeight="false" outlineLevel="0" collapsed="false">
      <c r="A59" s="26" t="str">
        <f aca="false">Rules!D35</f>
        <v>Other</v>
      </c>
      <c r="B59" s="27" t="n">
        <f aca="false">COUNTIF(Tracker!$D$5:$D$154,A59)</f>
        <v>0</v>
      </c>
      <c r="C59" s="27" t="n">
        <f aca="false">COUNTIFS(Tracker!$D$5:$D$154,A59,Tracker!$Z$5:$Z$154,"&gt;=1")</f>
        <v>0</v>
      </c>
      <c r="D59" s="27" t="n">
        <f aca="false">COUNTIFS(Tracker!$D$5:$D$154,A59,Tracker!$Z$5:$Z$154,"&gt;=2")</f>
        <v>0</v>
      </c>
      <c r="E59" s="27" t="n">
        <f aca="false">COUNTIFS(Tracker!$D$5:$D$154,A59,Tracker!$Z$5:$Z$154,"&gt;=4")</f>
        <v>0</v>
      </c>
      <c r="F59" s="28" t="str">
        <f aca="false">IFERROR(D59/C59,"-")</f>
        <v>-</v>
      </c>
    </row>
    <row r="60" customFormat="false" ht="15" hidden="false" customHeight="false" outlineLevel="0" collapsed="false">
      <c r="A60" s="33" t="s">
        <v>295</v>
      </c>
      <c r="B60" s="34" t="n">
        <f aca="false">SUM(B45:B59)</f>
        <v>0</v>
      </c>
      <c r="C60" s="34" t="n">
        <f aca="false">SUM(C45:C59)</f>
        <v>0</v>
      </c>
      <c r="D60" s="34" t="n">
        <f aca="false">SUM(D45:D59)</f>
        <v>0</v>
      </c>
      <c r="E60" s="34" t="n">
        <f aca="false">SUM(E45:E59)</f>
        <v>0</v>
      </c>
      <c r="F60" s="35" t="str">
        <f aca="false">IFERROR(D60/C60,"-")</f>
        <v>-</v>
      </c>
    </row>
  </sheetData>
  <mergeCells count="2">
    <mergeCell ref="B22:D22"/>
    <mergeCell ref="B28:D28"/>
  </mergeCells>
  <conditionalFormatting sqref="D19:D21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7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9" t="s">
        <v>296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3" t="s">
        <v>298</v>
      </c>
      <c r="B4" s="3"/>
      <c r="C4" s="3"/>
    </row>
    <row r="5" customFormat="false" ht="15" hidden="false" customHeight="false" outlineLevel="0" collapsed="false">
      <c r="A5" s="36" t="s">
        <v>299</v>
      </c>
      <c r="B5" s="37" t="n">
        <v>10</v>
      </c>
      <c r="C5" s="2" t="s">
        <v>300</v>
      </c>
    </row>
    <row r="6" customFormat="false" ht="15" hidden="false" customHeight="false" outlineLevel="0" collapsed="false">
      <c r="A6" s="36" t="s">
        <v>301</v>
      </c>
      <c r="B6" s="37" t="n">
        <v>50</v>
      </c>
      <c r="C6" s="2" t="s">
        <v>302</v>
      </c>
    </row>
    <row r="7" customFormat="false" ht="15" hidden="false" customHeight="false" outlineLevel="0" collapsed="false">
      <c r="A7" s="36" t="s">
        <v>303</v>
      </c>
      <c r="B7" s="37" t="n">
        <v>5</v>
      </c>
      <c r="C7" s="2" t="s">
        <v>304</v>
      </c>
    </row>
    <row r="8" customFormat="false" ht="15" hidden="false" customHeight="false" outlineLevel="0" collapsed="false">
      <c r="A8" s="36" t="s">
        <v>305</v>
      </c>
      <c r="B8" s="37" t="n">
        <v>100</v>
      </c>
      <c r="C8" s="2" t="s">
        <v>306</v>
      </c>
    </row>
    <row r="10" customFormat="false" ht="15" hidden="false" customHeight="false" outlineLevel="0" collapsed="false">
      <c r="A10" s="3" t="s">
        <v>307</v>
      </c>
      <c r="B10" s="3"/>
      <c r="C10" s="3"/>
    </row>
    <row r="11" customFormat="false" ht="15" hidden="false" customHeight="false" outlineLevel="0" collapsed="false">
      <c r="A11" s="36" t="s">
        <v>308</v>
      </c>
      <c r="B11" s="37" t="n">
        <v>10</v>
      </c>
      <c r="C11" s="2" t="s">
        <v>309</v>
      </c>
    </row>
    <row r="12" customFormat="false" ht="15" hidden="false" customHeight="false" outlineLevel="0" collapsed="false">
      <c r="A12" s="36" t="s">
        <v>310</v>
      </c>
      <c r="B12" s="37" t="n">
        <v>4</v>
      </c>
      <c r="C12" s="2" t="s">
        <v>311</v>
      </c>
    </row>
    <row r="13" customFormat="false" ht="15" hidden="false" customHeight="false" outlineLevel="0" collapsed="false">
      <c r="A13" s="36" t="s">
        <v>312</v>
      </c>
      <c r="B13" s="37" t="n">
        <v>2</v>
      </c>
      <c r="C13" s="2" t="s">
        <v>313</v>
      </c>
    </row>
    <row r="14" customFormat="false" ht="15" hidden="false" customHeight="false" outlineLevel="0" collapsed="false">
      <c r="A14" s="36" t="s">
        <v>314</v>
      </c>
      <c r="B14" s="38" t="n">
        <v>0.5</v>
      </c>
      <c r="C14" s="2" t="s">
        <v>315</v>
      </c>
    </row>
    <row r="16" customFormat="false" ht="15" hidden="false" customHeight="false" outlineLevel="0" collapsed="false">
      <c r="A16" s="3" t="s">
        <v>316</v>
      </c>
      <c r="B16" s="3"/>
      <c r="C16" s="3"/>
    </row>
    <row r="17" customFormat="false" ht="15" hidden="false" customHeight="false" outlineLevel="0" collapsed="false">
      <c r="A17" s="36" t="s">
        <v>317</v>
      </c>
      <c r="B17" s="37" t="n">
        <v>4</v>
      </c>
      <c r="C17" s="2" t="s">
        <v>318</v>
      </c>
    </row>
    <row r="19" customFormat="false" ht="15" hidden="false" customHeight="false" outlineLevel="0" collapsed="false">
      <c r="A19" s="3" t="s">
        <v>319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3.85" hidden="false" customHeight="false" outlineLevel="0" collapsed="false">
      <c r="A20" s="25" t="s">
        <v>41</v>
      </c>
      <c r="B20" s="25" t="s">
        <v>320</v>
      </c>
      <c r="D20" s="25" t="s">
        <v>26</v>
      </c>
      <c r="F20" s="25" t="s">
        <v>29</v>
      </c>
      <c r="H20" s="25" t="s">
        <v>321</v>
      </c>
      <c r="I20" s="25" t="s">
        <v>322</v>
      </c>
      <c r="J20" s="25" t="s">
        <v>53</v>
      </c>
      <c r="K20" s="25" t="s">
        <v>69</v>
      </c>
      <c r="L20" s="25" t="s">
        <v>323</v>
      </c>
      <c r="M20" s="25" t="s">
        <v>324</v>
      </c>
    </row>
    <row r="21" customFormat="false" ht="15" hidden="false" customHeight="false" outlineLevel="0" collapsed="false">
      <c r="A21" s="26" t="s">
        <v>325</v>
      </c>
      <c r="B21" s="26" t="n">
        <v>0</v>
      </c>
      <c r="D21" s="26" t="s">
        <v>28</v>
      </c>
      <c r="F21" s="26" t="s">
        <v>31</v>
      </c>
      <c r="H21" s="26" t="s">
        <v>49</v>
      </c>
      <c r="I21" s="26" t="s">
        <v>49</v>
      </c>
      <c r="J21" s="26" t="s">
        <v>326</v>
      </c>
      <c r="K21" s="26" t="s">
        <v>71</v>
      </c>
      <c r="L21" s="26" t="s">
        <v>49</v>
      </c>
      <c r="M21" s="26" t="s">
        <v>49</v>
      </c>
    </row>
    <row r="22" customFormat="false" ht="15" hidden="false" customHeight="false" outlineLevel="0" collapsed="false">
      <c r="A22" s="26" t="s">
        <v>262</v>
      </c>
      <c r="B22" s="26" t="n">
        <v>1</v>
      </c>
      <c r="D22" s="26" t="s">
        <v>327</v>
      </c>
      <c r="F22" s="26" t="s">
        <v>328</v>
      </c>
      <c r="H22" s="26" t="s">
        <v>329</v>
      </c>
      <c r="I22" s="26" t="s">
        <v>68</v>
      </c>
      <c r="J22" s="26" t="s">
        <v>55</v>
      </c>
      <c r="K22" s="26" t="s">
        <v>330</v>
      </c>
      <c r="L22" s="26" t="s">
        <v>74</v>
      </c>
      <c r="M22" s="26" t="s">
        <v>80</v>
      </c>
    </row>
    <row r="23" customFormat="false" ht="15" hidden="false" customHeight="false" outlineLevel="0" collapsed="false">
      <c r="A23" s="26" t="s">
        <v>331</v>
      </c>
      <c r="B23" s="26" t="n">
        <v>1</v>
      </c>
      <c r="D23" s="26" t="s">
        <v>332</v>
      </c>
      <c r="F23" s="26" t="s">
        <v>333</v>
      </c>
      <c r="H23" s="26" t="s">
        <v>80</v>
      </c>
      <c r="I23" s="26" t="s">
        <v>80</v>
      </c>
      <c r="J23" s="26" t="s">
        <v>334</v>
      </c>
      <c r="K23" s="26" t="s">
        <v>335</v>
      </c>
      <c r="L23" s="26" t="s">
        <v>80</v>
      </c>
    </row>
    <row r="24" customFormat="false" ht="15" hidden="false" customHeight="false" outlineLevel="0" collapsed="false">
      <c r="A24" s="26" t="s">
        <v>263</v>
      </c>
      <c r="B24" s="26" t="n">
        <v>2</v>
      </c>
      <c r="D24" s="26" t="s">
        <v>336</v>
      </c>
      <c r="F24" s="26" t="s">
        <v>337</v>
      </c>
      <c r="J24" s="26" t="s">
        <v>338</v>
      </c>
      <c r="K24" s="26" t="s">
        <v>68</v>
      </c>
    </row>
    <row r="25" customFormat="false" ht="15" hidden="false" customHeight="false" outlineLevel="0" collapsed="false">
      <c r="A25" s="26" t="s">
        <v>339</v>
      </c>
      <c r="B25" s="26" t="n">
        <v>2</v>
      </c>
      <c r="D25" s="26" t="s">
        <v>340</v>
      </c>
      <c r="F25" s="26" t="s">
        <v>341</v>
      </c>
      <c r="J25" s="26" t="s">
        <v>342</v>
      </c>
    </row>
    <row r="26" customFormat="false" ht="15" hidden="false" customHeight="false" outlineLevel="0" collapsed="false">
      <c r="A26" s="26" t="s">
        <v>343</v>
      </c>
      <c r="B26" s="26" t="n">
        <v>2</v>
      </c>
      <c r="D26" s="26" t="s">
        <v>344</v>
      </c>
      <c r="F26" s="26" t="s">
        <v>345</v>
      </c>
    </row>
    <row r="27" customFormat="false" ht="15" hidden="false" customHeight="false" outlineLevel="0" collapsed="false">
      <c r="A27" s="26" t="s">
        <v>43</v>
      </c>
      <c r="B27" s="26" t="n">
        <v>3</v>
      </c>
      <c r="D27" s="26" t="s">
        <v>346</v>
      </c>
      <c r="F27" s="26" t="s">
        <v>342</v>
      </c>
    </row>
    <row r="28" customFormat="false" ht="15" hidden="false" customHeight="false" outlineLevel="0" collapsed="false">
      <c r="A28" s="26" t="s">
        <v>265</v>
      </c>
      <c r="B28" s="26" t="n">
        <v>4</v>
      </c>
      <c r="D28" s="26" t="s">
        <v>347</v>
      </c>
    </row>
    <row r="29" customFormat="false" ht="15" hidden="false" customHeight="false" outlineLevel="0" collapsed="false">
      <c r="A29" s="26" t="s">
        <v>266</v>
      </c>
      <c r="B29" s="26" t="n">
        <v>5</v>
      </c>
      <c r="D29" s="26" t="s">
        <v>348</v>
      </c>
    </row>
    <row r="30" customFormat="false" ht="15" hidden="false" customHeight="false" outlineLevel="0" collapsed="false">
      <c r="A30" s="26" t="s">
        <v>267</v>
      </c>
      <c r="B30" s="26" t="n">
        <v>6</v>
      </c>
      <c r="D30" s="26" t="s">
        <v>349</v>
      </c>
    </row>
    <row r="31" customFormat="false" ht="15" hidden="false" customHeight="false" outlineLevel="0" collapsed="false">
      <c r="D31" s="26" t="s">
        <v>350</v>
      </c>
    </row>
    <row r="32" customFormat="false" ht="15" hidden="false" customHeight="false" outlineLevel="0" collapsed="false">
      <c r="D32" s="26" t="s">
        <v>351</v>
      </c>
    </row>
    <row r="33" customFormat="false" ht="15" hidden="false" customHeight="false" outlineLevel="0" collapsed="false">
      <c r="D33" s="26" t="s">
        <v>352</v>
      </c>
    </row>
    <row r="34" customFormat="false" ht="15" hidden="false" customHeight="false" outlineLevel="0" collapsed="false">
      <c r="D34" s="26" t="s">
        <v>353</v>
      </c>
    </row>
    <row r="35" customFormat="false" ht="15" hidden="false" customHeight="false" outlineLevel="0" collapsed="false">
      <c r="D35" s="26" t="s">
        <v>342</v>
      </c>
    </row>
    <row r="37" customFormat="false" ht="15" hidden="false" customHeight="false" outlineLevel="0" collapsed="false">
      <c r="A37" s="2" t="s">
        <v>354</v>
      </c>
    </row>
    <row r="38" customFormat="false" ht="15" hidden="false" customHeight="false" outlineLevel="0" collapsed="false">
      <c r="A38" s="2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2026-09-29T23:02:41Z</dcterms:created>
  <dc:creator>openpyxl</dc:creator>
  <dc:description/>
  <dc:language>en-US</dc:language>
  <cp:lastModifiedBy/>
  <dcterms:modified xsi:type="dcterms:W3CDTF">2026-09-29T23:02:41Z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