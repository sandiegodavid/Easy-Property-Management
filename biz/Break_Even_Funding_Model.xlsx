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Assumptions" sheetId="3" state="visible" r:id="rId5"/>
    <sheet name="Model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<sst xmlns="http://schemas.openxmlformats.org/spreadsheetml/2006/main" count="226" uniqueCount="185">
  <si>
    <t xml:space="preserve">Break-even &amp; Funding Model</t>
  </si>
  <si>
    <t xml:space="preserve">Estimate how many paying customers and how much funding it takes to break even, and how to release money over time.</t>
  </si>
  <si>
    <t xml:space="preserve">HOW TO USE</t>
  </si>
  <si>
    <t xml:space="preserve">1. Set your numbers</t>
  </si>
  <si>
    <t xml:space="preserve">On the Assumptions sheet, edit the blue numbers on yellow. Start with the Custom column, or overwrite any scenario.</t>
  </si>
  <si>
    <t xml:space="preserve">2. Pick a scenario</t>
  </si>
  <si>
    <t xml:space="preserve">Assumptions cell B5 chooses which scenario the Model sheet shows in detail.</t>
  </si>
  <si>
    <t xml:space="preserve">3. Read the Summary</t>
  </si>
  <si>
    <t xml:space="preserve">Key results for the selected scenario, funding tranches tied to the roadmap gates, and all five scenarios side by side with a chart.</t>
  </si>
  <si>
    <t xml:space="preserve">4. Replace guesses</t>
  </si>
  <si>
    <t xml:space="preserve">After Phase 0, swap in real price, churn, and new-customer pace from your pilots and interviews.</t>
  </si>
  <si>
    <t xml:space="preserve">COLOUR LEGEND</t>
  </si>
  <si>
    <t xml:space="preserve">Blue on yellow</t>
  </si>
  <si>
    <t xml:space="preserve">An input you can change.</t>
  </si>
  <si>
    <t xml:space="preserve">Black</t>
  </si>
  <si>
    <t xml:space="preserve">A formula. Do not overwrite.</t>
  </si>
  <si>
    <t xml:space="preserve">Green</t>
  </si>
  <si>
    <t xml:space="preserve">A direct link to another sheet.</t>
  </si>
  <si>
    <t xml:space="preserve">SHEETS</t>
  </si>
  <si>
    <t xml:space="preserve">Summary</t>
  </si>
  <si>
    <t xml:space="preserve">Results, tranches, scenario comparison, chart.</t>
  </si>
  <si>
    <t xml:space="preserve">Assumptions</t>
  </si>
  <si>
    <t xml:space="preserve">All inputs, with a note on where each number came from.</t>
  </si>
  <si>
    <t xml:space="preserve">Model</t>
  </si>
  <si>
    <t xml:space="preserve">Month-by-month detail for the selected scenario over 60 months.</t>
  </si>
  <si>
    <t xml:space="preserve">Scenarios</t>
  </si>
  <si>
    <t xml:space="preserve">Calculation engine that runs all five scenarios so the Summary can compare them. Nothing to type.</t>
  </si>
  <si>
    <t xml:space="preserve">SOURCES AND ASSUMPTIONS</t>
  </si>
  <si>
    <t xml:space="preserve">Churn</t>
  </si>
  <si>
    <t xml:space="preserve">3-7% monthly for SMB SaaS is cited in vendor benchmark articles (for example kalungi.com/blog/saas-churn-rate-benchmarks); a 2026 cohort study by Visionary Marketing reports a 4.7% median across SaaS. These are marketing-blog benchmarks, not landlord-specific data.</t>
  </si>
  <si>
    <t xml:space="preserve">SOC 2</t>
  </si>
  <si>
    <t xml:space="preserve">A July 2026 breakdown (bdemerson.com/article/soc-2-cost) puts first-year SOC 2 at roughly $30k-$90k all in. Off by default.</t>
  </si>
  <si>
    <t xml:space="preserve">Competitor pricing</t>
  </si>
  <si>
    <t xml:space="preserve">Buildium (~$58-62/month) and DoorLoop (~$69/month) entry plans come from earlier research in this conversation. Verify current prices.</t>
  </si>
  <si>
    <t xml:space="preserve">Everything else</t>
  </si>
  <si>
    <t xml:space="preserve">Price, margin, acquisition cost, pace of new customers, fixed costs, and one-time costs are my placeholders [hypothesis]. Replace them with quotes and pilot data.</t>
  </si>
  <si>
    <t xml:space="preserve">NOT INCLUDED</t>
  </si>
  <si>
    <t xml:space="preserve">Excluded costs</t>
  </si>
  <si>
    <t xml:space="preserve">Developer payroll or contractor fees (enter them in 'Contractor / hired team'), the trust-accounting build and professional review, payment/bank/e-sign/screening integration fees, taxes, cost of capital, and the value of your own time.</t>
  </si>
  <si>
    <t xml:space="preserve">Simplifications</t>
  </si>
  <si>
    <t xml:space="preserve">One blended price for all customers; no annual prepay discounts or price changes; churn applied as a flat monthly rate; costs paid in the month incurred; 60-month window.</t>
  </si>
  <si>
    <t xml:space="preserve">Not advice</t>
  </si>
  <si>
    <t xml:space="preserve">Illustrative only. This is not financial advice; talk to a qualified advisor before raising or committing money.</t>
  </si>
  <si>
    <t xml:space="preserve">Break-even &amp; Funding Summary</t>
  </si>
  <si>
    <t xml:space="preserve">Illustrative outputs of placeholder assumptions, not forecasts and not financial advice.</t>
  </si>
  <si>
    <t xml:space="preserve">KEY RESULTS: SELECTED SCENARIO</t>
  </si>
  <si>
    <t xml:space="preserve">Contribution per customer per month ($)</t>
  </si>
  <si>
    <t xml:space="preserve">Price x gross margin.</t>
  </si>
  <si>
    <t xml:space="preserve">Total fixed costs per month ($)</t>
  </si>
  <si>
    <t xml:space="preserve">Break-even customers, static</t>
  </si>
  <si>
    <t xml:space="preserve">Fixed costs / contribution. Ignores ongoing acquisition spend, so it understates the real target.</t>
  </si>
  <si>
    <t xml:space="preserve">Operating break-even month</t>
  </si>
  <si>
    <t xml:space="preserve">First month with net cash flow of zero or better (after growth starts).</t>
  </si>
  <si>
    <t xml:space="preserve">Customers at operating break-even</t>
  </si>
  <si>
    <t xml:space="preserve">Peak funding need ($)</t>
  </si>
  <si>
    <t xml:space="preserve">Deepest point of cumulative cash within 60 months.</t>
  </si>
  <si>
    <t xml:space="preserve">Month of peak funding need</t>
  </si>
  <si>
    <t xml:space="preserve">Buffer ($)</t>
  </si>
  <si>
    <t xml:space="preserve">Buffer months x fixed costs.</t>
  </si>
  <si>
    <t xml:space="preserve">Suggested funding to line up ($)</t>
  </si>
  <si>
    <t xml:space="preserve">Peak funding need plus buffer.</t>
  </si>
  <si>
    <t xml:space="preserve">Still losing cash at month 60?</t>
  </si>
  <si>
    <t xml:space="preserve">Customers at month 12</t>
  </si>
  <si>
    <t xml:space="preserve">Customers at month 24</t>
  </si>
  <si>
    <t xml:space="preserve">Customers at month 36</t>
  </si>
  <si>
    <t xml:space="preserve">Customers at month 60</t>
  </si>
  <si>
    <t xml:space="preserve">Steady-state customers (stage 3 pace / churn)</t>
  </si>
  <si>
    <t xml:space="preserve">Customer counts level off near new customers per month / monthly churn.</t>
  </si>
  <si>
    <t xml:space="preserve">Acquisition cost payback (months)</t>
  </si>
  <si>
    <t xml:space="preserve">Cash acquisition cost / contribution per month.</t>
  </si>
  <si>
    <t xml:space="preserve">Lifetime gross profit per customer ($)</t>
  </si>
  <si>
    <t xml:space="preserve">Contribution / monthly churn.</t>
  </si>
  <si>
    <t xml:space="preserve">Lifetime gross profit / acquisition cost</t>
  </si>
  <si>
    <t xml:space="preserve">Rule of thumb some investors use is 3x or more; treat as a rough guide.</t>
  </si>
  <si>
    <t xml:space="preserve">FUNDING TRANCHES: SELECTED SCENARIO</t>
  </si>
  <si>
    <t xml:space="preserve">Tranche</t>
  </si>
  <si>
    <t xml:space="preserve">Net cash used ($)</t>
  </si>
  <si>
    <t xml:space="preserve">Cumulative cash at end ($)</t>
  </si>
  <si>
    <t xml:space="preserve">Roadmap phase and release gate</t>
  </si>
  <si>
    <t xml:space="preserve">Phase 0: pilot readiness and first pilots. Release: at the start.</t>
  </si>
  <si>
    <t xml:space="preserve">Phase 1: hosted option, legal and security reviews. Release: Phase 0 gate met (restore proven, pilots live, enough paid-pilot yeses).</t>
  </si>
  <si>
    <t xml:space="preserve">Phases 2-3: payments, phone and owner links. Release: churn near plan and new-customer pace on track.</t>
  </si>
  <si>
    <t xml:space="preserve">Phase 4 and toward break-even. Release: a visible path to break-even.</t>
  </si>
  <si>
    <t xml:space="preserve">Beyond the plan (Phases 5-6). Release: break-even reached, or re-plan.</t>
  </si>
  <si>
    <t xml:space="preserve">Total net cash used through month 60</t>
  </si>
  <si>
    <t xml:space="preserve">Net cash used is positive when a tranche spends more than it earns (a negative number means a surplus). Cumulative cash is negative while you are funded by outside money.</t>
  </si>
  <si>
    <t xml:space="preserve">COMPARE ALL SCENARIOS</t>
  </si>
  <si>
    <t xml:space="preserve">Metric</t>
  </si>
  <si>
    <t xml:space="preserve">Blended price ($/month)</t>
  </si>
  <si>
    <t xml:space="preserve">Monthly churn</t>
  </si>
  <si>
    <t xml:space="preserve">New-customer pace multiplier</t>
  </si>
  <si>
    <t xml:space="preserve">Acquisition cost per new customer ($)</t>
  </si>
  <si>
    <t xml:space="preserve">Steady-state customers</t>
  </si>
  <si>
    <t xml:space="preserve">If 'Still losing cash at month 60' is Yes, the peak funding need is understated because the deficit is still growing after the 60-month window.</t>
  </si>
  <si>
    <t xml:space="preserve">Blue numbers on yellow are inputs. Every other sheet calculates from here. All figures are illustrative placeholders [hypothesis]: replace them with your own quotes and pilot data.</t>
  </si>
  <si>
    <t xml:space="preserve">SELECT SCENARIO (drives the Model sheet)</t>
  </si>
  <si>
    <t xml:space="preserve">Scenario shown on the Model sheet</t>
  </si>
  <si>
    <t xml:space="preserve">Base</t>
  </si>
  <si>
    <t xml:space="preserve">The Summary sheet compares all five scenarios at once; this choice only controls the detailed Model sheet.</t>
  </si>
  <si>
    <t xml:space="preserve">Scenario number</t>
  </si>
  <si>
    <t xml:space="preserve">SCENARIO DRIVERS</t>
  </si>
  <si>
    <t xml:space="preserve">Driver</t>
  </si>
  <si>
    <t xml:space="preserve">Live (selected)</t>
  </si>
  <si>
    <t xml:space="preserve">Conservative</t>
  </si>
  <si>
    <t xml:space="preserve">Optimistic</t>
  </si>
  <si>
    <t xml:space="preserve">Base - no founder draw</t>
  </si>
  <si>
    <t xml:space="preserve">Custom</t>
  </si>
  <si>
    <t xml:space="preserve">Notes / source</t>
  </si>
  <si>
    <t xml:space="preserve">Blended price ($ per customer per month)</t>
  </si>
  <si>
    <t xml:space="preserve">Base $50 is my assumption, a bit under the Buildium (~$58-62) and DoorLoop (~$69) entry plans from earlier research, since payments come later. Verify current competitor pricing.</t>
  </si>
  <si>
    <t xml:space="preserve">Gross margin (%)</t>
  </si>
  <si>
    <t xml:space="preserve">My assumption for hosting, managed AI, and tools [hypothesis]. Payment-partner fees are treated as pass-through and excluded.</t>
  </si>
  <si>
    <t xml:space="preserve">Monthly customer churn (%)</t>
  </si>
  <si>
    <t xml:space="preserve">Vendor benchmark articles cite 3-7% monthly for SMB SaaS; a 2026 cohort study reports a 4.7% median across SaaS. Small-landlord churn may differ. Replace with pilot data.</t>
  </si>
  <si>
    <t xml:space="preserve">Cash acquisition cost per new customer ($)</t>
  </si>
  <si>
    <t xml:space="preserve">My assumption: gift cards, association fees, tools. Excludes your own time.</t>
  </si>
  <si>
    <t xml:space="preserve">New-customer pace multiplier (x)</t>
  </si>
  <si>
    <t xml:space="preserve">Scales the pace table below (0.5x = half as many new customers per month).</t>
  </si>
  <si>
    <t xml:space="preserve">Founder draw ($ per month)</t>
  </si>
  <si>
    <t xml:space="preserve">Placeholder for living costs. Set to your own figure.</t>
  </si>
  <si>
    <t xml:space="preserve">Contractor / hired team ($ per month)</t>
  </si>
  <si>
    <t xml:space="preserve">Zero in every scenario: developer costs are NOT included. Enter your real quotes here.</t>
  </si>
  <si>
    <t xml:space="preserve">Other fixed costs ($ per month)</t>
  </si>
  <si>
    <t xml:space="preserve">My assumption: tools, hosting base, insurance, accounting, legal retainer, dev accounts.</t>
  </si>
  <si>
    <t xml:space="preserve">Total fixed costs ($ per month)</t>
  </si>
  <si>
    <t xml:space="preserve">PACE OF NEW CUSTOMERS (before the scenario multiplier)</t>
  </si>
  <si>
    <t xml:space="preserve">Paying pilots</t>
  </si>
  <si>
    <t xml:space="preserve">Interview plan: 5-10 paid pilots. Pilots are not scaled by the multiplier.</t>
  </si>
  <si>
    <t xml:space="preserve">Pilot start month</t>
  </si>
  <si>
    <t xml:space="preserve">Months before this are build-only (no customers).</t>
  </si>
  <si>
    <t xml:space="preserve">Pilot setup fee ($ each, one time)</t>
  </si>
  <si>
    <t xml:space="preserve">Pilot offer: 'a few hundred dollars' [hypothesis].</t>
  </si>
  <si>
    <t xml:space="preserve">First month of regular growth</t>
  </si>
  <si>
    <t xml:space="preserve">Regular new-customer adds start here.</t>
  </si>
  <si>
    <t xml:space="preserve">New customers per month, stage 1</t>
  </si>
  <si>
    <t xml:space="preserve">My assumption for a solo founder using referrals and associations [hypothesis].</t>
  </si>
  <si>
    <t xml:space="preserve">Stage 1 ends after month</t>
  </si>
  <si>
    <t xml:space="preserve">New customers per month, stage 2</t>
  </si>
  <si>
    <t xml:space="preserve">My assumption [hypothesis].</t>
  </si>
  <si>
    <t xml:space="preserve">Stage 2 ends after month</t>
  </si>
  <si>
    <t xml:space="preserve">New customers per month, stage 3 (after stage 2)</t>
  </si>
  <si>
    <t xml:space="preserve">ONE-TIME COSTS</t>
  </si>
  <si>
    <t xml:space="preserve">Item</t>
  </si>
  <si>
    <t xml:space="preserve">Month</t>
  </si>
  <si>
    <t xml:space="preserve">Amount ($)</t>
  </si>
  <si>
    <t xml:space="preserve">Notes</t>
  </si>
  <si>
    <t xml:space="preserve">Incorporation, templates, initial legal</t>
  </si>
  <si>
    <t xml:space="preserve">My placeholder [hypothesis]. Get quotes.</t>
  </si>
  <si>
    <t xml:space="preserve">Legal review (terms, privacy, state questions)</t>
  </si>
  <si>
    <t xml:space="preserve">My placeholder [hypothesis]. Trust-accounting review before Phase 5 may cost more.</t>
  </si>
  <si>
    <t xml:space="preserve">Security testing</t>
  </si>
  <si>
    <t xml:space="preserve">My placeholder [hypothesis].</t>
  </si>
  <si>
    <t xml:space="preserve">SOC 2 (optional, off by default)</t>
  </si>
  <si>
    <t xml:space="preserve">One 2026 breakdown puts first-year SOC 2 at roughly $30k-$90k all in. Enter an amount to include it.</t>
  </si>
  <si>
    <t xml:space="preserve">Other one-time (spare)</t>
  </si>
  <si>
    <t xml:space="preserve">FUNDING PLAN</t>
  </si>
  <si>
    <t xml:space="preserve">Buffer (months of fixed costs)</t>
  </si>
  <si>
    <t xml:space="preserve">Chat suggestion: 3-6 months.</t>
  </si>
  <si>
    <t xml:space="preserve">Tranche 1 ends after month</t>
  </si>
  <si>
    <t xml:space="preserve">Roadmap Phase 0.</t>
  </si>
  <si>
    <t xml:space="preserve">Tranche 2 ends after month</t>
  </si>
  <si>
    <t xml:space="preserve">Roadmap Phase 1.</t>
  </si>
  <si>
    <t xml:space="preserve">Tranche 3 ends after month</t>
  </si>
  <si>
    <t xml:space="preserve">Roadmap Phases 2-3.</t>
  </si>
  <si>
    <t xml:space="preserve">Tranche 4 ends after month</t>
  </si>
  <si>
    <t xml:space="preserve">Roadmap Phase 4 and toward break-even. Later months are shown as a fifth row.</t>
  </si>
  <si>
    <t xml:space="preserve">Model: monthly detail for the selected scenario</t>
  </si>
  <si>
    <t xml:space="preserve">New customers</t>
  </si>
  <si>
    <t xml:space="preserve">Churned customers</t>
  </si>
  <si>
    <t xml:space="preserve">Customers (end of month)</t>
  </si>
  <si>
    <t xml:space="preserve">Subscription revenue ($)</t>
  </si>
  <si>
    <t xml:space="preserve">Setup fees ($)</t>
  </si>
  <si>
    <t xml:space="preserve">Total revenue ($)</t>
  </si>
  <si>
    <t xml:space="preserve">Cost of service ($)</t>
  </si>
  <si>
    <t xml:space="preserve">Fixed costs ($)</t>
  </si>
  <si>
    <t xml:space="preserve">Acquisition spend ($)</t>
  </si>
  <si>
    <t xml:space="preserve">One-time costs ($)</t>
  </si>
  <si>
    <t xml:space="preserve">Total costs ($)</t>
  </si>
  <si>
    <t xml:space="preserve">Net cash flow ($)</t>
  </si>
  <si>
    <t xml:space="preserve">Cumulative cash ($)</t>
  </si>
  <si>
    <t xml:space="preserve">Break-even flag</t>
  </si>
  <si>
    <t xml:space="preserve">Tranche 5 = months after the last tranche. The amber cell marks the point of peak funding need (lowest cumulative cash). The break-even flag is 1 when monthly net cash flow is zero or better from the first growth month on.</t>
  </si>
  <si>
    <t xml:space="preserve">Scenarios (calculation engine for all five scenarios)</t>
  </si>
  <si>
    <t xml:space="preserve">Nothing to type here. Each block repeats the Model logic for one scenario so the Summary can compare them live.</t>
  </si>
  <si>
    <t xml:space="preserve">Customers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</si>
</sst>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#,##0;\(#,##0\);\-"/>
    <numFmt numFmtId="167" formatCode="0"/>
    <numFmt numFmtId="168" formatCode="0.0"/>
    <numFmt numFmtId="169" formatCode="0.0\x"/>
    <numFmt numFmtId="170" formatCode="0.0%"/>
    <numFmt numFmtId="171" formatCode="\$#,##0"/>
    <numFmt numFmtId="172" formatCode="General"/>
    <numFmt numFmtId="173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7F7F7F"/>
      <rgbColor rgb="FF9999FF"/>
      <rgbColor rgb="FFBE4B48"/>
      <rgbColor rgb="FFE2EFDA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B9C"/>
      <rgbColor rgb="FF2E75B6"/>
      <rgbColor rgb="FF46AAC4"/>
      <rgbColor rgb="FF98B855"/>
      <rgbColor rgb="FFFFCC00"/>
      <rgbColor rgb="FFBF8F00"/>
      <rgbColor rgb="FFFF6600"/>
      <rgbColor rgb="FF7D5FA0"/>
      <rgbColor rgb="FF878787"/>
      <rgbColor rgb="FF1F3864"/>
      <rgbColor rgb="FF4A7EBB"/>
      <rgbColor rgb="FF006100"/>
      <rgbColor rgb="FF333300"/>
      <rgbColor rgb="FF9C57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by scenario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Scenarios!$C$3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Scenarios!$F$6:$F$65</c:f>
              <c:numCache>
                <c:formatCode>\$#,##0;"($"#,##0\);\-</c:formatCode>
                <c:ptCount val="60"/>
                <c:pt idx="0">
                  <c:v>-8500</c:v>
                </c:pt>
                <c:pt idx="1">
                  <c:v>-14000</c:v>
                </c:pt>
                <c:pt idx="2">
                  <c:v>-19500</c:v>
                </c:pt>
                <c:pt idx="3">
                  <c:v>-25000</c:v>
                </c:pt>
                <c:pt idx="4">
                  <c:v>-30920</c:v>
                </c:pt>
                <c:pt idx="5">
                  <c:v>-36249</c:v>
                </c:pt>
                <c:pt idx="6">
                  <c:v>-42326.55</c:v>
                </c:pt>
                <c:pt idx="7">
                  <c:v>-48355.2225</c:v>
                </c:pt>
                <c:pt idx="8">
                  <c:v>-54337.461375</c:v>
                </c:pt>
                <c:pt idx="9">
                  <c:v>-60275.58830625</c:v>
                </c:pt>
                <c:pt idx="10">
                  <c:v>-66171.8088909375</c:v>
                </c:pt>
                <c:pt idx="11">
                  <c:v>-85028.2184463906</c:v>
                </c:pt>
                <c:pt idx="12">
                  <c:v>-91216.8075240711</c:v>
                </c:pt>
                <c:pt idx="13">
                  <c:v>-97340.9671478675</c:v>
                </c:pt>
                <c:pt idx="14">
                  <c:v>-103403.918790474</c:v>
                </c:pt>
                <c:pt idx="15">
                  <c:v>-109408.72285095</c:v>
                </c:pt>
                <c:pt idx="16">
                  <c:v>-115358.286708403</c:v>
                </c:pt>
                <c:pt idx="17">
                  <c:v>-121255.372372983</c:v>
                </c:pt>
                <c:pt idx="18">
                  <c:v>-127102.603754334</c:v>
                </c:pt>
                <c:pt idx="19">
                  <c:v>-132902.473566617</c:v>
                </c:pt>
                <c:pt idx="20">
                  <c:v>-138657.349888286</c:v>
                </c:pt>
                <c:pt idx="21">
                  <c:v>-144369.482393872</c:v>
                </c:pt>
                <c:pt idx="22">
                  <c:v>-150041.008274178</c:v>
                </c:pt>
                <c:pt idx="23">
                  <c:v>-155673.957860469</c:v>
                </c:pt>
                <c:pt idx="24">
                  <c:v>-161640.259967446</c:v>
                </c:pt>
                <c:pt idx="25">
                  <c:v>-167543.246969074</c:v>
                </c:pt>
                <c:pt idx="26">
                  <c:v>-173386.08462062</c:v>
                </c:pt>
                <c:pt idx="27">
                  <c:v>-179171.780389589</c:v>
                </c:pt>
                <c:pt idx="28">
                  <c:v>-184903.191370109</c:v>
                </c:pt>
                <c:pt idx="29">
                  <c:v>-190583.031801604</c:v>
                </c:pt>
                <c:pt idx="30">
                  <c:v>-196213.880211524</c:v>
                </c:pt>
                <c:pt idx="31">
                  <c:v>-201798.186200948</c:v>
                </c:pt>
                <c:pt idx="32">
                  <c:v>-207338.2768909</c:v>
                </c:pt>
                <c:pt idx="33">
                  <c:v>-212836.363046355</c:v>
                </c:pt>
                <c:pt idx="34">
                  <c:v>-218294.544894037</c:v>
                </c:pt>
                <c:pt idx="35">
                  <c:v>-223714.817649336</c:v>
                </c:pt>
                <c:pt idx="36">
                  <c:v>-229099.076766869</c:v>
                </c:pt>
                <c:pt idx="37">
                  <c:v>-234449.122928525</c:v>
                </c:pt>
                <c:pt idx="38">
                  <c:v>-239766.666782099</c:v>
                </c:pt>
                <c:pt idx="39">
                  <c:v>-245053.333442994</c:v>
                </c:pt>
                <c:pt idx="40">
                  <c:v>-250310.666770844</c:v>
                </c:pt>
                <c:pt idx="41">
                  <c:v>-255540.133432302</c:v>
                </c:pt>
                <c:pt idx="42">
                  <c:v>-260743.126760687</c:v>
                </c:pt>
                <c:pt idx="43">
                  <c:v>-265920.970422653</c:v>
                </c:pt>
                <c:pt idx="44">
                  <c:v>-271074.92190152</c:v>
                </c:pt>
                <c:pt idx="45">
                  <c:v>-276206.175806444</c:v>
                </c:pt>
                <c:pt idx="46">
                  <c:v>-281315.867016122</c:v>
                </c:pt>
                <c:pt idx="47">
                  <c:v>-286405.073665316</c:v>
                </c:pt>
                <c:pt idx="48">
                  <c:v>-291474.81998205</c:v>
                </c:pt>
                <c:pt idx="49">
                  <c:v>-296526.078982948</c:v>
                </c:pt>
                <c:pt idx="50">
                  <c:v>-301559.7750338</c:v>
                </c:pt>
                <c:pt idx="51">
                  <c:v>-306576.78628211</c:v>
                </c:pt>
                <c:pt idx="52">
                  <c:v>-311577.946968005</c:v>
                </c:pt>
                <c:pt idx="53">
                  <c:v>-316564.049619605</c:v>
                </c:pt>
                <c:pt idx="54">
                  <c:v>-321535.847138624</c:v>
                </c:pt>
                <c:pt idx="55">
                  <c:v>-326494.054781693</c:v>
                </c:pt>
                <c:pt idx="56">
                  <c:v>-331439.352042608</c:v>
                </c:pt>
                <c:pt idx="57">
                  <c:v>-336372.384440478</c:v>
                </c:pt>
                <c:pt idx="58">
                  <c:v>-341293.765218454</c:v>
                </c:pt>
                <c:pt idx="59">
                  <c:v>-346204.076957531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Scenarios!$H$3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Scenarios!$K$6:$K$65</c:f>
              <c:numCache>
                <c:formatCode>\$#,##0;"($"#,##0\);\-</c:formatCode>
                <c:ptCount val="60"/>
                <c:pt idx="0">
                  <c:v>-8500</c:v>
                </c:pt>
                <c:pt idx="1">
                  <c:v>-14000</c:v>
                </c:pt>
                <c:pt idx="2">
                  <c:v>-19500</c:v>
                </c:pt>
                <c:pt idx="3">
                  <c:v>-25000</c:v>
                </c:pt>
                <c:pt idx="4">
                  <c:v>-29975</c:v>
                </c:pt>
                <c:pt idx="5">
                  <c:v>-35256.75</c:v>
                </c:pt>
                <c:pt idx="6">
                  <c:v>-41395.0475</c:v>
                </c:pt>
                <c:pt idx="7">
                  <c:v>-47394.196075</c:v>
                </c:pt>
                <c:pt idx="8">
                  <c:v>-53258.37019275</c:v>
                </c:pt>
                <c:pt idx="9">
                  <c:v>-58991.6190869675</c:v>
                </c:pt>
                <c:pt idx="10">
                  <c:v>-64597.8705143585</c:v>
                </c:pt>
                <c:pt idx="11">
                  <c:v>-83080.9343989277</c:v>
                </c:pt>
                <c:pt idx="12">
                  <c:v>-88869.5063669599</c:v>
                </c:pt>
                <c:pt idx="13">
                  <c:v>-94469.4211759511</c:v>
                </c:pt>
                <c:pt idx="14">
                  <c:v>-99886.3385406726</c:v>
                </c:pt>
                <c:pt idx="15">
                  <c:v>-105125.748384452</c:v>
                </c:pt>
                <c:pt idx="16">
                  <c:v>-110192.975932919</c:v>
                </c:pt>
                <c:pt idx="17">
                  <c:v>-115093.186654931</c:v>
                </c:pt>
                <c:pt idx="18">
                  <c:v>-119831.391055283</c:v>
                </c:pt>
                <c:pt idx="19">
                  <c:v>-124412.449323625</c:v>
                </c:pt>
                <c:pt idx="20">
                  <c:v>-128841.075843916</c:v>
                </c:pt>
                <c:pt idx="21">
                  <c:v>-133121.843568599</c:v>
                </c:pt>
                <c:pt idx="22">
                  <c:v>-137259.188261541</c:v>
                </c:pt>
                <c:pt idx="23">
                  <c:v>-141257.412613694</c:v>
                </c:pt>
                <c:pt idx="24">
                  <c:v>-145545.690235284</c:v>
                </c:pt>
                <c:pt idx="25">
                  <c:v>-149630.319528225</c:v>
                </c:pt>
                <c:pt idx="26">
                  <c:v>-153517.409942378</c:v>
                </c:pt>
                <c:pt idx="27">
                  <c:v>-157212.887644107</c:v>
                </c:pt>
                <c:pt idx="28">
                  <c:v>-160722.501014784</c:v>
                </c:pt>
                <c:pt idx="29">
                  <c:v>-164051.82598434</c:v>
                </c:pt>
                <c:pt idx="30">
                  <c:v>-167206.27120481</c:v>
                </c:pt>
                <c:pt idx="31">
                  <c:v>-170191.083068666</c:v>
                </c:pt>
                <c:pt idx="32">
                  <c:v>-173011.350576606</c:v>
                </c:pt>
                <c:pt idx="33">
                  <c:v>-175672.010059308</c:v>
                </c:pt>
                <c:pt idx="34">
                  <c:v>-178177.849757528</c:v>
                </c:pt>
                <c:pt idx="35">
                  <c:v>-180533.514264802</c:v>
                </c:pt>
                <c:pt idx="36">
                  <c:v>-182743.508836858</c:v>
                </c:pt>
                <c:pt idx="37">
                  <c:v>-184812.203571753</c:v>
                </c:pt>
                <c:pt idx="38">
                  <c:v>-186743.8374646</c:v>
                </c:pt>
                <c:pt idx="39">
                  <c:v>-188542.522340662</c:v>
                </c:pt>
                <c:pt idx="40">
                  <c:v>-190212.246670442</c:v>
                </c:pt>
                <c:pt idx="41">
                  <c:v>-191756.879270329</c:v>
                </c:pt>
                <c:pt idx="42">
                  <c:v>-193180.172892219</c:v>
                </c:pt>
                <c:pt idx="43">
                  <c:v>-194485.767705453</c:v>
                </c:pt>
                <c:pt idx="44">
                  <c:v>-195677.194674289</c:v>
                </c:pt>
                <c:pt idx="45">
                  <c:v>-196757.87883406</c:v>
                </c:pt>
                <c:pt idx="46">
                  <c:v>-197731.142469038</c:v>
                </c:pt>
                <c:pt idx="47">
                  <c:v>-198600.208194967</c:v>
                </c:pt>
                <c:pt idx="48">
                  <c:v>-199368.201949118</c:v>
                </c:pt>
                <c:pt idx="49">
                  <c:v>-200038.155890645</c:v>
                </c:pt>
                <c:pt idx="50">
                  <c:v>-200613.011213925</c:v>
                </c:pt>
                <c:pt idx="51">
                  <c:v>-201095.620877508</c:v>
                </c:pt>
                <c:pt idx="52">
                  <c:v>-201488.752251182</c:v>
                </c:pt>
                <c:pt idx="53">
                  <c:v>-201795.089683647</c:v>
                </c:pt>
                <c:pt idx="54">
                  <c:v>-202017.236993138</c:v>
                </c:pt>
                <c:pt idx="55">
                  <c:v>-202157.719883343</c:v>
                </c:pt>
                <c:pt idx="56">
                  <c:v>-202218.988286843</c:v>
                </c:pt>
                <c:pt idx="57">
                  <c:v>-202203.418638238</c:v>
                </c:pt>
                <c:pt idx="58">
                  <c:v>-202113.316079091</c:v>
                </c:pt>
                <c:pt idx="59">
                  <c:v>-201950.916596718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Scenarios!$M$3</c:f>
              <c:strCache>
                <c:ptCount val="1"/>
                <c:pt idx="0">
                  <c:v>Optimistic</c:v>
                </c:pt>
              </c:strCache>
            </c:strRef>
          </c:tx>
          <c:spPr>
            <a:solidFill>
              <a:srgbClr val="98b855"/>
            </a:solidFill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Scenarios!$P$6:$P$65</c:f>
              <c:numCache>
                <c:formatCode>\$#,##0;"($"#,##0\);\-</c:formatCode>
                <c:ptCount val="60"/>
                <c:pt idx="0">
                  <c:v>-8500</c:v>
                </c:pt>
                <c:pt idx="1">
                  <c:v>-14000</c:v>
                </c:pt>
                <c:pt idx="2">
                  <c:v>-19500</c:v>
                </c:pt>
                <c:pt idx="3">
                  <c:v>-25000</c:v>
                </c:pt>
                <c:pt idx="4">
                  <c:v>-29885</c:v>
                </c:pt>
                <c:pt idx="5">
                  <c:v>-35076.3</c:v>
                </c:pt>
                <c:pt idx="6">
                  <c:v>-41458.774</c:v>
                </c:pt>
                <c:pt idx="7">
                  <c:v>-47538.59852</c:v>
                </c:pt>
                <c:pt idx="8">
                  <c:v>-53321.8265496</c:v>
                </c:pt>
                <c:pt idx="9">
                  <c:v>-58814.390018608</c:v>
                </c:pt>
                <c:pt idx="10">
                  <c:v>-64022.1022182359</c:v>
                </c:pt>
                <c:pt idx="11">
                  <c:v>-81950.6601738712</c:v>
                </c:pt>
                <c:pt idx="12">
                  <c:v>-87198.1469703937</c:v>
                </c:pt>
                <c:pt idx="13">
                  <c:v>-92023.1840309858</c:v>
                </c:pt>
                <c:pt idx="14">
                  <c:v>-96434.2203503661</c:v>
                </c:pt>
                <c:pt idx="15">
                  <c:v>-100439.535943359</c:v>
                </c:pt>
                <c:pt idx="16">
                  <c:v>-104047.245224492</c:v>
                </c:pt>
                <c:pt idx="17">
                  <c:v>-107265.300320002</c:v>
                </c:pt>
                <c:pt idx="18">
                  <c:v>-110101.494313602</c:v>
                </c:pt>
                <c:pt idx="19">
                  <c:v>-112563.46442733</c:v>
                </c:pt>
                <c:pt idx="20">
                  <c:v>-114658.695138783</c:v>
                </c:pt>
                <c:pt idx="21">
                  <c:v>-116394.521236007</c:v>
                </c:pt>
                <c:pt idx="22">
                  <c:v>-117778.130811287</c:v>
                </c:pt>
                <c:pt idx="23">
                  <c:v>-118816.568195062</c:v>
                </c:pt>
                <c:pt idx="24">
                  <c:v>-120109.23683116</c:v>
                </c:pt>
                <c:pt idx="25">
                  <c:v>-120916.052094537</c:v>
                </c:pt>
                <c:pt idx="26">
                  <c:v>-121246.731052646</c:v>
                </c:pt>
                <c:pt idx="27">
                  <c:v>-121110.796431593</c:v>
                </c:pt>
                <c:pt idx="28">
                  <c:v>-120517.580502962</c:v>
                </c:pt>
                <c:pt idx="29">
                  <c:v>-119476.228892902</c:v>
                </c:pt>
                <c:pt idx="30">
                  <c:v>-117995.704315044</c:v>
                </c:pt>
                <c:pt idx="31">
                  <c:v>-116084.790228743</c:v>
                </c:pt>
                <c:pt idx="32">
                  <c:v>-113752.094424169</c:v>
                </c:pt>
                <c:pt idx="33">
                  <c:v>-111006.052535685</c:v>
                </c:pt>
                <c:pt idx="34">
                  <c:v>-107854.931484972</c:v>
                </c:pt>
                <c:pt idx="35">
                  <c:v>-104306.832855272</c:v>
                </c:pt>
                <c:pt idx="36">
                  <c:v>-100369.696198167</c:v>
                </c:pt>
                <c:pt idx="37">
                  <c:v>-96051.3022742033</c:v>
                </c:pt>
                <c:pt idx="38">
                  <c:v>-91359.2762287193</c:v>
                </c:pt>
                <c:pt idx="39">
                  <c:v>-86301.0907041449</c:v>
                </c:pt>
                <c:pt idx="40">
                  <c:v>-80884.068890062</c:v>
                </c:pt>
                <c:pt idx="41">
                  <c:v>-75115.3875122608</c:v>
                </c:pt>
                <c:pt idx="42">
                  <c:v>-69002.0797620156</c:v>
                </c:pt>
                <c:pt idx="43">
                  <c:v>-62551.0381667752</c:v>
                </c:pt>
                <c:pt idx="44">
                  <c:v>-55769.0174034397</c:v>
                </c:pt>
                <c:pt idx="45">
                  <c:v>-48662.6370553709</c:v>
                </c:pt>
                <c:pt idx="46">
                  <c:v>-41238.3843142635</c:v>
                </c:pt>
                <c:pt idx="47">
                  <c:v>-33502.6166279783</c:v>
                </c:pt>
                <c:pt idx="48">
                  <c:v>-25461.5642954187</c:v>
                </c:pt>
                <c:pt idx="49">
                  <c:v>-17121.3330095103</c:v>
                </c:pt>
                <c:pt idx="50">
                  <c:v>-8487.90634932011</c:v>
                </c:pt>
                <c:pt idx="51">
                  <c:v>432.851777666288</c:v>
                </c:pt>
                <c:pt idx="52">
                  <c:v>9635.19474211296</c:v>
                </c:pt>
                <c:pt idx="53">
                  <c:v>19113.4908472707</c:v>
                </c:pt>
                <c:pt idx="54">
                  <c:v>28862.2210303253</c:v>
                </c:pt>
                <c:pt idx="55">
                  <c:v>38875.9766097188</c:v>
                </c:pt>
                <c:pt idx="56">
                  <c:v>49149.4570775244</c:v>
                </c:pt>
                <c:pt idx="57">
                  <c:v>59677.4679359739</c:v>
                </c:pt>
                <c:pt idx="58">
                  <c:v>70454.9185772544</c:v>
                </c:pt>
                <c:pt idx="59">
                  <c:v>81476.8202057093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Scenarios!$R$3</c:f>
              <c:strCache>
                <c:ptCount val="1"/>
                <c:pt idx="0">
                  <c:v>Base - no founder draw</c:v>
                </c:pt>
              </c:strCache>
            </c:strRef>
          </c:tx>
          <c:spPr>
            <a:solidFill>
              <a:srgbClr val="7d5fa0"/>
            </a:solidFill>
            <a:ln w="219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Scenarios!$U$6:$U$65</c:f>
              <c:numCache>
                <c:formatCode>\$#,##0;"($"#,##0\);\-</c:formatCode>
                <c:ptCount val="60"/>
                <c:pt idx="0">
                  <c:v>-4500</c:v>
                </c:pt>
                <c:pt idx="1">
                  <c:v>-6000</c:v>
                </c:pt>
                <c:pt idx="2">
                  <c:v>-7500</c:v>
                </c:pt>
                <c:pt idx="3">
                  <c:v>-9000</c:v>
                </c:pt>
                <c:pt idx="4">
                  <c:v>-9975</c:v>
                </c:pt>
                <c:pt idx="5">
                  <c:v>-11256.75</c:v>
                </c:pt>
                <c:pt idx="6">
                  <c:v>-13395.0475</c:v>
                </c:pt>
                <c:pt idx="7">
                  <c:v>-15394.196075</c:v>
                </c:pt>
                <c:pt idx="8">
                  <c:v>-17258.37019275</c:v>
                </c:pt>
                <c:pt idx="9">
                  <c:v>-18991.6190869675</c:v>
                </c:pt>
                <c:pt idx="10">
                  <c:v>-20597.8705143585</c:v>
                </c:pt>
                <c:pt idx="11">
                  <c:v>-35080.9343989277</c:v>
                </c:pt>
                <c:pt idx="12">
                  <c:v>-36869.5063669599</c:v>
                </c:pt>
                <c:pt idx="13">
                  <c:v>-38469.4211759511</c:v>
                </c:pt>
                <c:pt idx="14">
                  <c:v>-39886.3385406726</c:v>
                </c:pt>
                <c:pt idx="15">
                  <c:v>-41125.7483844524</c:v>
                </c:pt>
                <c:pt idx="16">
                  <c:v>-42192.9759329188</c:v>
                </c:pt>
                <c:pt idx="17">
                  <c:v>-43093.1866549313</c:v>
                </c:pt>
                <c:pt idx="18">
                  <c:v>-43831.3910552833</c:v>
                </c:pt>
                <c:pt idx="19">
                  <c:v>-44412.4493236248</c:v>
                </c:pt>
                <c:pt idx="20">
                  <c:v>-44841.0758439161</c:v>
                </c:pt>
                <c:pt idx="21">
                  <c:v>-45121.8435685986</c:v>
                </c:pt>
                <c:pt idx="22">
                  <c:v>-45259.1882615406</c:v>
                </c:pt>
                <c:pt idx="23">
                  <c:v>-45257.4126136944</c:v>
                </c:pt>
                <c:pt idx="24">
                  <c:v>-45545.6902352836</c:v>
                </c:pt>
                <c:pt idx="25">
                  <c:v>-45630.3195282251</c:v>
                </c:pt>
                <c:pt idx="26">
                  <c:v>-45517.4099423783</c:v>
                </c:pt>
                <c:pt idx="27">
                  <c:v>-45212.887644107</c:v>
                </c:pt>
                <c:pt idx="28">
                  <c:v>-44722.5010147838</c:v>
                </c:pt>
                <c:pt idx="29">
                  <c:v>-44051.8259843403</c:v>
                </c:pt>
                <c:pt idx="30">
                  <c:v>-43206.2712048101</c:v>
                </c:pt>
                <c:pt idx="31">
                  <c:v>-42191.0830686658</c:v>
                </c:pt>
                <c:pt idx="32">
                  <c:v>-41011.3505766058</c:v>
                </c:pt>
                <c:pt idx="33">
                  <c:v>-39672.0100593076</c:v>
                </c:pt>
                <c:pt idx="34">
                  <c:v>-38177.8497575284</c:v>
                </c:pt>
                <c:pt idx="35">
                  <c:v>-36533.5142648025</c:v>
                </c:pt>
                <c:pt idx="36">
                  <c:v>-34743.5088368585</c:v>
                </c:pt>
                <c:pt idx="37">
                  <c:v>-32812.2035717527</c:v>
                </c:pt>
                <c:pt idx="38">
                  <c:v>-30743.8374646001</c:v>
                </c:pt>
                <c:pt idx="39">
                  <c:v>-28542.5223406621</c:v>
                </c:pt>
                <c:pt idx="40">
                  <c:v>-26212.2466704423</c:v>
                </c:pt>
                <c:pt idx="41">
                  <c:v>-23756.879270329</c:v>
                </c:pt>
                <c:pt idx="42">
                  <c:v>-21180.1728922191</c:v>
                </c:pt>
                <c:pt idx="43">
                  <c:v>-18485.7677054526</c:v>
                </c:pt>
                <c:pt idx="44">
                  <c:v>-15677.194674289</c:v>
                </c:pt>
                <c:pt idx="45">
                  <c:v>-12757.8788340603</c:v>
                </c:pt>
                <c:pt idx="46">
                  <c:v>-9731.14246903852</c:v>
                </c:pt>
                <c:pt idx="47">
                  <c:v>-6600.20819496737</c:v>
                </c:pt>
                <c:pt idx="48">
                  <c:v>-3368.20194911836</c:v>
                </c:pt>
                <c:pt idx="49">
                  <c:v>-38.1558906448081</c:v>
                </c:pt>
                <c:pt idx="50">
                  <c:v>3386.98878607453</c:v>
                </c:pt>
                <c:pt idx="51">
                  <c:v>6904.37912249229</c:v>
                </c:pt>
                <c:pt idx="52">
                  <c:v>10511.2477488175</c:v>
                </c:pt>
                <c:pt idx="53">
                  <c:v>14204.910316353</c:v>
                </c:pt>
                <c:pt idx="54">
                  <c:v>17982.7630068624</c:v>
                </c:pt>
                <c:pt idx="55">
                  <c:v>21842.2801166565</c:v>
                </c:pt>
                <c:pt idx="56">
                  <c:v>25781.0117131568</c:v>
                </c:pt>
                <c:pt idx="57">
                  <c:v>29796.5813617621</c:v>
                </c:pt>
                <c:pt idx="58">
                  <c:v>33886.6839209092</c:v>
                </c:pt>
                <c:pt idx="59">
                  <c:v>38049.083403282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Scenarios!$W$3</c:f>
              <c:strCache>
                <c:ptCount val="1"/>
                <c:pt idx="0">
                  <c:v>Custom</c:v>
                </c:pt>
              </c:strCache>
            </c:strRef>
          </c:tx>
          <c:spPr>
            <a:solidFill>
              <a:srgbClr val="46aac4"/>
            </a:solidFill>
            <a:ln w="21960">
              <a:solidFill>
                <a:srgbClr val="46aac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Scenarios!$Z$6:$Z$65</c:f>
              <c:numCache>
                <c:formatCode>\$#,##0;"($"#,##0\);\-</c:formatCode>
                <c:ptCount val="60"/>
                <c:pt idx="0">
                  <c:v>-8500</c:v>
                </c:pt>
                <c:pt idx="1">
                  <c:v>-14000</c:v>
                </c:pt>
                <c:pt idx="2">
                  <c:v>-19500</c:v>
                </c:pt>
                <c:pt idx="3">
                  <c:v>-25000</c:v>
                </c:pt>
                <c:pt idx="4">
                  <c:v>-29975</c:v>
                </c:pt>
                <c:pt idx="5">
                  <c:v>-35256.75</c:v>
                </c:pt>
                <c:pt idx="6">
                  <c:v>-41395.0475</c:v>
                </c:pt>
                <c:pt idx="7">
                  <c:v>-47394.196075</c:v>
                </c:pt>
                <c:pt idx="8">
                  <c:v>-53258.37019275</c:v>
                </c:pt>
                <c:pt idx="9">
                  <c:v>-58991.6190869675</c:v>
                </c:pt>
                <c:pt idx="10">
                  <c:v>-64597.8705143585</c:v>
                </c:pt>
                <c:pt idx="11">
                  <c:v>-83080.9343989277</c:v>
                </c:pt>
                <c:pt idx="12">
                  <c:v>-88869.5063669599</c:v>
                </c:pt>
                <c:pt idx="13">
                  <c:v>-94469.4211759511</c:v>
                </c:pt>
                <c:pt idx="14">
                  <c:v>-99886.3385406726</c:v>
                </c:pt>
                <c:pt idx="15">
                  <c:v>-105125.748384452</c:v>
                </c:pt>
                <c:pt idx="16">
                  <c:v>-110192.975932919</c:v>
                </c:pt>
                <c:pt idx="17">
                  <c:v>-115093.186654931</c:v>
                </c:pt>
                <c:pt idx="18">
                  <c:v>-119831.391055283</c:v>
                </c:pt>
                <c:pt idx="19">
                  <c:v>-124412.449323625</c:v>
                </c:pt>
                <c:pt idx="20">
                  <c:v>-128841.075843916</c:v>
                </c:pt>
                <c:pt idx="21">
                  <c:v>-133121.843568599</c:v>
                </c:pt>
                <c:pt idx="22">
                  <c:v>-137259.188261541</c:v>
                </c:pt>
                <c:pt idx="23">
                  <c:v>-141257.412613694</c:v>
                </c:pt>
                <c:pt idx="24">
                  <c:v>-145545.690235284</c:v>
                </c:pt>
                <c:pt idx="25">
                  <c:v>-149630.319528225</c:v>
                </c:pt>
                <c:pt idx="26">
                  <c:v>-153517.409942378</c:v>
                </c:pt>
                <c:pt idx="27">
                  <c:v>-157212.887644107</c:v>
                </c:pt>
                <c:pt idx="28">
                  <c:v>-160722.501014784</c:v>
                </c:pt>
                <c:pt idx="29">
                  <c:v>-164051.82598434</c:v>
                </c:pt>
                <c:pt idx="30">
                  <c:v>-167206.27120481</c:v>
                </c:pt>
                <c:pt idx="31">
                  <c:v>-170191.083068666</c:v>
                </c:pt>
                <c:pt idx="32">
                  <c:v>-173011.350576606</c:v>
                </c:pt>
                <c:pt idx="33">
                  <c:v>-175672.010059308</c:v>
                </c:pt>
                <c:pt idx="34">
                  <c:v>-178177.849757528</c:v>
                </c:pt>
                <c:pt idx="35">
                  <c:v>-180533.514264802</c:v>
                </c:pt>
                <c:pt idx="36">
                  <c:v>-182743.508836858</c:v>
                </c:pt>
                <c:pt idx="37">
                  <c:v>-184812.203571753</c:v>
                </c:pt>
                <c:pt idx="38">
                  <c:v>-186743.8374646</c:v>
                </c:pt>
                <c:pt idx="39">
                  <c:v>-188542.522340662</c:v>
                </c:pt>
                <c:pt idx="40">
                  <c:v>-190212.246670442</c:v>
                </c:pt>
                <c:pt idx="41">
                  <c:v>-191756.879270329</c:v>
                </c:pt>
                <c:pt idx="42">
                  <c:v>-193180.172892219</c:v>
                </c:pt>
                <c:pt idx="43">
                  <c:v>-194485.767705453</c:v>
                </c:pt>
                <c:pt idx="44">
                  <c:v>-195677.194674289</c:v>
                </c:pt>
                <c:pt idx="45">
                  <c:v>-196757.87883406</c:v>
                </c:pt>
                <c:pt idx="46">
                  <c:v>-197731.142469038</c:v>
                </c:pt>
                <c:pt idx="47">
                  <c:v>-198600.208194967</c:v>
                </c:pt>
                <c:pt idx="48">
                  <c:v>-199368.201949118</c:v>
                </c:pt>
                <c:pt idx="49">
                  <c:v>-200038.155890645</c:v>
                </c:pt>
                <c:pt idx="50">
                  <c:v>-200613.011213925</c:v>
                </c:pt>
                <c:pt idx="51">
                  <c:v>-201095.620877508</c:v>
                </c:pt>
                <c:pt idx="52">
                  <c:v>-201488.752251182</c:v>
                </c:pt>
                <c:pt idx="53">
                  <c:v>-201795.089683647</c:v>
                </c:pt>
                <c:pt idx="54">
                  <c:v>-202017.236993138</c:v>
                </c:pt>
                <c:pt idx="55">
                  <c:v>-202157.719883343</c:v>
                </c:pt>
                <c:pt idx="56">
                  <c:v>-202218.988286843</c:v>
                </c:pt>
                <c:pt idx="57">
                  <c:v>-202203.418638238</c:v>
                </c:pt>
                <c:pt idx="58">
                  <c:v>-202113.316079091</c:v>
                </c:pt>
                <c:pt idx="59">
                  <c:v>-201950.916596718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590690"/>
        <c:axId val="72110597"/>
      </c:lineChart>
      <c:catAx>
        <c:axId val="375906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10597"/>
        <c:crosses val="autoZero"/>
        <c:auto val="1"/>
        <c:lblAlgn val="ctr"/>
        <c:lblOffset val="100"/>
        <c:noMultiLvlLbl val="0"/>
      </c:catAx>
      <c:valAx>
        <c:axId val="72110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cash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90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18360</xdr:rowOff>
    </xdr:from>
    <xdr:to>
      <xdr:col>4</xdr:col>
      <xdr:colOff>1465200</xdr:colOff>
      <xdr:row>69</xdr:row>
      <xdr:rowOff>9000</xdr:rowOff>
    </xdr:to>
    <xdr:graphicFrame>
      <xdr:nvGraphicFramePr>
        <xdr:cNvPr id="0" name="Chart 1"/>
        <xdr:cNvGraphicFramePr/>
      </xdr:nvGraphicFramePr>
      <xdr:xfrm>
        <a:off x="0" y="11049120"/>
        <a:ext cx="93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true" outlineLevel="0" collapsed="false">
      <c r="A11" s="6" t="s">
        <v>12</v>
      </c>
      <c r="B11" s="6" t="s">
        <v>13</v>
      </c>
    </row>
    <row r="12" customFormat="false" ht="15" hidden="false" customHeight="true" outlineLevel="0" collapsed="false">
      <c r="A12" s="6" t="s">
        <v>14</v>
      </c>
      <c r="B12" s="6" t="s">
        <v>15</v>
      </c>
    </row>
    <row r="13" customFormat="false" ht="15" hidden="false" customHeight="true" outlineLevel="0" collapsed="false">
      <c r="A13" s="6" t="s">
        <v>16</v>
      </c>
      <c r="B13" s="6" t="s">
        <v>17</v>
      </c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true" outlineLevel="0" collapsed="false">
      <c r="A16" s="6" t="s">
        <v>19</v>
      </c>
      <c r="B16" s="6" t="s">
        <v>20</v>
      </c>
    </row>
    <row r="17" customFormat="false" ht="15" hidden="false" customHeight="true" outlineLevel="0" collapsed="false">
      <c r="A17" s="6" t="s">
        <v>21</v>
      </c>
      <c r="B17" s="6" t="s">
        <v>22</v>
      </c>
    </row>
    <row r="18" customFormat="false" ht="15" hidden="false" customHeight="true" outlineLevel="0" collapsed="false">
      <c r="A18" s="6" t="s">
        <v>23</v>
      </c>
      <c r="B18" s="6" t="s">
        <v>24</v>
      </c>
    </row>
    <row r="19" customFormat="false" ht="15" hidden="false" customHeight="true" outlineLevel="0" collapsed="false">
      <c r="A19" s="6" t="s">
        <v>25</v>
      </c>
      <c r="B19" s="6" t="s">
        <v>26</v>
      </c>
    </row>
    <row r="21" customFormat="false" ht="15" hidden="false" customHeight="false" outlineLevel="0" collapsed="false">
      <c r="A21" s="3" t="s">
        <v>27</v>
      </c>
      <c r="B21" s="4"/>
    </row>
    <row r="22" customFormat="false" ht="45" hidden="false" customHeight="true" outlineLevel="0" collapsed="false">
      <c r="A22" s="6" t="s">
        <v>28</v>
      </c>
      <c r="B22" s="6" t="s">
        <v>29</v>
      </c>
    </row>
    <row r="23" customFormat="false" ht="30" hidden="false" customHeight="true" outlineLevel="0" collapsed="false">
      <c r="A23" s="6" t="s">
        <v>30</v>
      </c>
      <c r="B23" s="6" t="s">
        <v>31</v>
      </c>
    </row>
    <row r="24" customFormat="false" ht="30" hidden="false" customHeight="true" outlineLevel="0" collapsed="false">
      <c r="A24" s="6" t="s">
        <v>32</v>
      </c>
      <c r="B24" s="6" t="s">
        <v>33</v>
      </c>
    </row>
    <row r="25" customFormat="false" ht="30" hidden="false" customHeight="true" outlineLevel="0" collapsed="false">
      <c r="A25" s="6" t="s">
        <v>34</v>
      </c>
      <c r="B25" s="6" t="s">
        <v>35</v>
      </c>
    </row>
    <row r="27" customFormat="false" ht="15" hidden="false" customHeight="false" outlineLevel="0" collapsed="false">
      <c r="A27" s="3" t="s">
        <v>36</v>
      </c>
      <c r="B27" s="4"/>
    </row>
    <row r="28" customFormat="false" ht="45" hidden="false" customHeight="true" outlineLevel="0" collapsed="false">
      <c r="A28" s="6" t="s">
        <v>37</v>
      </c>
      <c r="B28" s="6" t="s">
        <v>38</v>
      </c>
    </row>
    <row r="29" customFormat="false" ht="30" hidden="false" customHeight="true" outlineLevel="0" collapsed="false">
      <c r="A29" s="6" t="s">
        <v>39</v>
      </c>
      <c r="B29" s="6" t="s">
        <v>40</v>
      </c>
    </row>
    <row r="30" customFormat="false" ht="30" hidden="false" customHeight="true" outlineLevel="0" collapsed="false">
      <c r="A30" s="6" t="s">
        <v>41</v>
      </c>
      <c r="B30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22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7" t="str">
        <f aca="false">"Selected scenario: "&amp;Assumptions!B5</f>
        <v>Selected scenario: Base</v>
      </c>
    </row>
    <row r="3" customFormat="false" ht="15" hidden="false" customHeight="false" outlineLevel="0" collapsed="false">
      <c r="A3" s="2" t="s">
        <v>44</v>
      </c>
    </row>
    <row r="5" customFormat="false" ht="15" hidden="false" customHeight="false" outlineLevel="0" collapsed="false">
      <c r="A5" s="3" t="s">
        <v>45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8" t="s">
        <v>46</v>
      </c>
      <c r="B6" s="9" t="n">
        <f aca="false">Assumptions!B10*Assumptions!B11</f>
        <v>37.5</v>
      </c>
      <c r="C6" s="2" t="s">
        <v>47</v>
      </c>
    </row>
    <row r="7" customFormat="false" ht="15" hidden="false" customHeight="false" outlineLevel="0" collapsed="false">
      <c r="A7" s="8" t="s">
        <v>48</v>
      </c>
      <c r="B7" s="9" t="n">
        <f aca="false">Assumptions!B18</f>
        <v>5500</v>
      </c>
      <c r="C7" s="2"/>
    </row>
    <row r="8" customFormat="false" ht="15" hidden="false" customHeight="false" outlineLevel="0" collapsed="false">
      <c r="A8" s="8" t="s">
        <v>49</v>
      </c>
      <c r="B8" s="10" t="n">
        <f aca="false">IFERROR(B7/B6,"-")</f>
        <v>146.666666666667</v>
      </c>
      <c r="C8" s="2" t="s">
        <v>50</v>
      </c>
    </row>
    <row r="9" customFormat="false" ht="15" hidden="false" customHeight="false" outlineLevel="0" collapsed="false">
      <c r="A9" s="8" t="s">
        <v>51</v>
      </c>
      <c r="B9" s="11" t="n">
        <f aca="false">IFERROR(INDEX(Model!$A$6:$A$65,MATCH(1,Model!$P$6:$P$65,0)),"Not reached in 60 months")</f>
        <v>58</v>
      </c>
      <c r="C9" s="2" t="s">
        <v>52</v>
      </c>
    </row>
    <row r="10" customFormat="false" ht="15" hidden="false" customHeight="false" outlineLevel="0" collapsed="false">
      <c r="A10" s="8" t="s">
        <v>53</v>
      </c>
      <c r="B10" s="10" t="n">
        <f aca="false">IFERROR(INDEX(Model!$E$6:$E$65,MATCH(1,Model!$P$6:$P$65,0)),"-")</f>
        <v>200.415190629475</v>
      </c>
      <c r="C10" s="2"/>
    </row>
    <row r="11" customFormat="false" ht="15" hidden="false" customHeight="false" outlineLevel="0" collapsed="false">
      <c r="A11" s="8" t="s">
        <v>54</v>
      </c>
      <c r="B11" s="12" t="n">
        <f aca="false">-MIN(0,MIN(Model!$O$6:$O$65))</f>
        <v>202218.988286843</v>
      </c>
      <c r="C11" s="2" t="s">
        <v>55</v>
      </c>
    </row>
    <row r="12" customFormat="false" ht="15" hidden="false" customHeight="false" outlineLevel="0" collapsed="false">
      <c r="A12" s="8" t="s">
        <v>56</v>
      </c>
      <c r="B12" s="11" t="n">
        <f aca="false">IF(B11=0,"-",INDEX(Model!$A$6:$A$65,MATCH(MIN(Model!$O$6:$O$65),Model!$O$6:$O$65,0)))</f>
        <v>57</v>
      </c>
      <c r="C12" s="2"/>
    </row>
    <row r="13" customFormat="false" ht="15" hidden="false" customHeight="false" outlineLevel="0" collapsed="false">
      <c r="A13" s="8" t="s">
        <v>57</v>
      </c>
      <c r="B13" s="9" t="n">
        <f aca="false">Assumptions!B41*B7</f>
        <v>22000</v>
      </c>
      <c r="C13" s="2" t="s">
        <v>58</v>
      </c>
    </row>
    <row r="14" customFormat="false" ht="15" hidden="false" customHeight="false" outlineLevel="0" collapsed="false">
      <c r="A14" s="8" t="s">
        <v>59</v>
      </c>
      <c r="B14" s="12" t="n">
        <f aca="false">B11+B13</f>
        <v>224218.988286843</v>
      </c>
      <c r="C14" s="2" t="s">
        <v>60</v>
      </c>
    </row>
    <row r="15" customFormat="false" ht="15" hidden="false" customHeight="false" outlineLevel="0" collapsed="false">
      <c r="A15" s="8" t="s">
        <v>61</v>
      </c>
      <c r="B15" s="13" t="str">
        <f aca="false">IF(Model!N65&lt;0,"Yes: peak is understated","No")</f>
        <v>No</v>
      </c>
      <c r="C15" s="2"/>
    </row>
    <row r="16" customFormat="false" ht="15" hidden="false" customHeight="false" outlineLevel="0" collapsed="false">
      <c r="A16" s="8" t="s">
        <v>62</v>
      </c>
      <c r="B16" s="10" t="n">
        <f aca="false">INDEX(Model!$E$6:$E$65,12)</f>
        <v>27.1182964114868</v>
      </c>
      <c r="C16" s="2"/>
    </row>
    <row r="17" customFormat="false" ht="15" hidden="false" customHeight="false" outlineLevel="0" collapsed="false">
      <c r="A17" s="8" t="s">
        <v>63</v>
      </c>
      <c r="B17" s="10" t="n">
        <f aca="false">INDEX(Model!$E$6:$E$65,24)</f>
        <v>80.0473506092325</v>
      </c>
      <c r="C17" s="2"/>
    </row>
    <row r="18" customFormat="false" ht="15" hidden="false" customHeight="false" outlineLevel="0" collapsed="false">
      <c r="A18" s="8" t="s">
        <v>64</v>
      </c>
      <c r="B18" s="10" t="n">
        <f aca="false">INDEX(Model!$E$6:$E$65,36)</f>
        <v>137.182279806023</v>
      </c>
      <c r="C18" s="2"/>
    </row>
    <row r="19" customFormat="false" ht="15" hidden="false" customHeight="false" outlineLevel="0" collapsed="false">
      <c r="A19" s="8" t="s">
        <v>65</v>
      </c>
      <c r="B19" s="10" t="n">
        <f aca="false">INDEX(Model!$E$6:$E$65,60)</f>
        <v>204.330652863273</v>
      </c>
      <c r="C19" s="2"/>
    </row>
    <row r="20" customFormat="false" ht="15" hidden="false" customHeight="false" outlineLevel="0" collapsed="false">
      <c r="A20" s="8" t="s">
        <v>66</v>
      </c>
      <c r="B20" s="10" t="n">
        <f aca="false">IFERROR(Assumptions!B29*Assumptions!B14/Assumptions!B12,"-")</f>
        <v>266.666666666667</v>
      </c>
      <c r="C20" s="2" t="s">
        <v>67</v>
      </c>
    </row>
    <row r="21" customFormat="false" ht="15" hidden="false" customHeight="false" outlineLevel="0" collapsed="false">
      <c r="A21" s="8" t="s">
        <v>68</v>
      </c>
      <c r="B21" s="14" t="n">
        <f aca="false">IFERROR(Assumptions!B13/B6,"-")</f>
        <v>6.66666666666667</v>
      </c>
      <c r="C21" s="2" t="s">
        <v>69</v>
      </c>
    </row>
    <row r="22" customFormat="false" ht="15" hidden="false" customHeight="false" outlineLevel="0" collapsed="false">
      <c r="A22" s="8" t="s">
        <v>70</v>
      </c>
      <c r="B22" s="9" t="n">
        <f aca="false">IFERROR(B6/Assumptions!B12,"-")</f>
        <v>1250</v>
      </c>
      <c r="C22" s="2" t="s">
        <v>71</v>
      </c>
    </row>
    <row r="23" customFormat="false" ht="15" hidden="false" customHeight="false" outlineLevel="0" collapsed="false">
      <c r="A23" s="8" t="s">
        <v>72</v>
      </c>
      <c r="B23" s="15" t="n">
        <f aca="false">IFERROR(B22/Assumptions!B13,"-")</f>
        <v>5</v>
      </c>
      <c r="C23" s="2" t="s">
        <v>73</v>
      </c>
    </row>
    <row r="25" customFormat="false" ht="15" hidden="false" customHeight="false" outlineLevel="0" collapsed="false">
      <c r="A25" s="3" t="s">
        <v>74</v>
      </c>
      <c r="B25" s="4"/>
      <c r="C25" s="4"/>
      <c r="D25" s="4"/>
      <c r="E25" s="4"/>
      <c r="F25" s="4"/>
    </row>
    <row r="26" customFormat="false" ht="23.85" hidden="false" customHeight="true" outlineLevel="0" collapsed="false">
      <c r="A26" s="16" t="s">
        <v>75</v>
      </c>
      <c r="B26" s="16" t="s">
        <v>76</v>
      </c>
      <c r="C26" s="16" t="s">
        <v>77</v>
      </c>
      <c r="D26" s="16" t="s">
        <v>78</v>
      </c>
      <c r="E26" s="16"/>
      <c r="F26" s="16"/>
    </row>
    <row r="27" customFormat="false" ht="30" hidden="false" customHeight="true" outlineLevel="0" collapsed="false">
      <c r="A27" s="8" t="str">
        <f aca="false">"Tranche 1: months 1-"&amp;Assumptions!B42</f>
        <v>Tranche 1: months 1-6</v>
      </c>
      <c r="B27" s="17" t="n">
        <f aca="false">-SUMIFS(Model!$N$6:$N$65,Model!$B$6:$B$65,1)</f>
        <v>35256.75</v>
      </c>
      <c r="C27" s="17" t="n">
        <f aca="false">INDEX(Model!$O$6:$O$65,Assumptions!B42)</f>
        <v>-35256.75</v>
      </c>
      <c r="D27" s="18" t="s">
        <v>79</v>
      </c>
      <c r="E27" s="18"/>
      <c r="F27" s="18"/>
    </row>
    <row r="28" customFormat="false" ht="30" hidden="false" customHeight="true" outlineLevel="0" collapsed="false">
      <c r="A28" s="8" t="str">
        <f aca="false">"Tranche 2: months "&amp;(Assumptions!B42+1)&amp;"-"&amp;Assumptions!B43</f>
        <v>Tranche 2: months 7-12</v>
      </c>
      <c r="B28" s="17" t="n">
        <f aca="false">-SUMIFS(Model!$N$6:$N$65,Model!$B$6:$B$65,2)</f>
        <v>47824.1843989277</v>
      </c>
      <c r="C28" s="17" t="n">
        <f aca="false">INDEX(Model!$O$6:$O$65,Assumptions!B43)</f>
        <v>-83080.9343989277</v>
      </c>
      <c r="D28" s="18" t="s">
        <v>80</v>
      </c>
      <c r="E28" s="18"/>
      <c r="F28" s="18"/>
    </row>
    <row r="29" customFormat="false" ht="30" hidden="false" customHeight="true" outlineLevel="0" collapsed="false">
      <c r="A29" s="8" t="str">
        <f aca="false">"Tranche 3: months "&amp;(Assumptions!B43+1)&amp;"-"&amp;Assumptions!B44</f>
        <v>Tranche 3: months 13-24</v>
      </c>
      <c r="B29" s="17" t="n">
        <f aca="false">-SUMIFS(Model!$N$6:$N$65,Model!$B$6:$B$65,3)</f>
        <v>58176.4782147667</v>
      </c>
      <c r="C29" s="17" t="n">
        <f aca="false">INDEX(Model!$O$6:$O$65,Assumptions!B44)</f>
        <v>-141257.412613694</v>
      </c>
      <c r="D29" s="18" t="s">
        <v>81</v>
      </c>
      <c r="E29" s="18"/>
      <c r="F29" s="18"/>
    </row>
    <row r="30" customFormat="false" ht="30" hidden="false" customHeight="true" outlineLevel="0" collapsed="false">
      <c r="A30" s="8" t="str">
        <f aca="false">"Tranche 4: months "&amp;(Assumptions!B44+1)&amp;"-"&amp;Assumptions!B45</f>
        <v>Tranche 4: months 25-36</v>
      </c>
      <c r="B30" s="17" t="n">
        <f aca="false">-SUMIFS(Model!$N$6:$N$65,Model!$B$6:$B$65,4)</f>
        <v>39276.1016511081</v>
      </c>
      <c r="C30" s="17" t="n">
        <f aca="false">INDEX(Model!$O$6:$O$65,Assumptions!B45)</f>
        <v>-180533.514264802</v>
      </c>
      <c r="D30" s="18" t="s">
        <v>82</v>
      </c>
      <c r="E30" s="18"/>
      <c r="F30" s="18"/>
    </row>
    <row r="31" customFormat="false" ht="30" hidden="false" customHeight="true" outlineLevel="0" collapsed="false">
      <c r="A31" s="8" t="str">
        <f aca="false">"Later: months "&amp;(Assumptions!B45+1)&amp;"-60"</f>
        <v>Later: months 37-60</v>
      </c>
      <c r="B31" s="17" t="n">
        <f aca="false">-SUMIFS(Model!$N$6:$N$65,Model!$B$6:$B$65,5)</f>
        <v>21417.4023319154</v>
      </c>
      <c r="C31" s="17" t="n">
        <f aca="false">INDEX(Model!$O$6:$O$65,60)</f>
        <v>-201950.916596718</v>
      </c>
      <c r="D31" s="18" t="s">
        <v>83</v>
      </c>
      <c r="E31" s="18"/>
      <c r="F31" s="18"/>
    </row>
    <row r="32" customFormat="false" ht="15" hidden="false" customHeight="false" outlineLevel="0" collapsed="false">
      <c r="A32" s="19" t="s">
        <v>84</v>
      </c>
      <c r="B32" s="9" t="n">
        <f aca="false">SUM(B27:B31)</f>
        <v>201950.916596718</v>
      </c>
    </row>
    <row r="33" customFormat="false" ht="15" hidden="false" customHeight="false" outlineLevel="0" collapsed="false">
      <c r="A33" s="20" t="s">
        <v>85</v>
      </c>
    </row>
    <row r="35" customFormat="false" ht="15" hidden="false" customHeight="false" outlineLevel="0" collapsed="false">
      <c r="A35" s="3" t="s">
        <v>86</v>
      </c>
      <c r="B35" s="4"/>
      <c r="C35" s="4"/>
      <c r="D35" s="4"/>
      <c r="E35" s="4"/>
      <c r="F35" s="4"/>
    </row>
    <row r="36" customFormat="false" ht="30" hidden="false" customHeight="true" outlineLevel="0" collapsed="false">
      <c r="A36" s="21" t="s">
        <v>87</v>
      </c>
      <c r="B36" s="16" t="str">
        <f aca="false">Assumptions!C9</f>
        <v>Conservative</v>
      </c>
      <c r="C36" s="16" t="str">
        <f aca="false">Assumptions!D9</f>
        <v>Base</v>
      </c>
      <c r="D36" s="16" t="str">
        <f aca="false">Assumptions!E9</f>
        <v>Optimistic</v>
      </c>
      <c r="E36" s="16" t="str">
        <f aca="false">Assumptions!F9</f>
        <v>Base - no founder draw</v>
      </c>
      <c r="F36" s="16" t="str">
        <f aca="false">Assumptions!G9</f>
        <v>Custom</v>
      </c>
    </row>
    <row r="37" customFormat="false" ht="15" hidden="false" customHeight="false" outlineLevel="0" collapsed="false">
      <c r="A37" s="8" t="s">
        <v>88</v>
      </c>
      <c r="B37" s="22" t="n">
        <f aca="false">Assumptions!C10</f>
        <v>40</v>
      </c>
      <c r="C37" s="22" t="n">
        <f aca="false">Assumptions!D10</f>
        <v>50</v>
      </c>
      <c r="D37" s="22" t="n">
        <f aca="false">Assumptions!E10</f>
        <v>70</v>
      </c>
      <c r="E37" s="22" t="n">
        <f aca="false">Assumptions!F10</f>
        <v>50</v>
      </c>
      <c r="F37" s="22" t="n">
        <f aca="false">Assumptions!G10</f>
        <v>50</v>
      </c>
    </row>
    <row r="38" customFormat="false" ht="15" hidden="false" customHeight="false" outlineLevel="0" collapsed="false">
      <c r="A38" s="8" t="s">
        <v>89</v>
      </c>
      <c r="B38" s="23" t="n">
        <f aca="false">Assumptions!C12</f>
        <v>0.05</v>
      </c>
      <c r="C38" s="23" t="n">
        <f aca="false">Assumptions!D12</f>
        <v>0.03</v>
      </c>
      <c r="D38" s="23" t="n">
        <f aca="false">Assumptions!E12</f>
        <v>0.02</v>
      </c>
      <c r="E38" s="23" t="n">
        <f aca="false">Assumptions!F12</f>
        <v>0.03</v>
      </c>
      <c r="F38" s="23" t="n">
        <f aca="false">Assumptions!G12</f>
        <v>0.03</v>
      </c>
    </row>
    <row r="39" customFormat="false" ht="15" hidden="false" customHeight="false" outlineLevel="0" collapsed="false">
      <c r="A39" s="8" t="s">
        <v>90</v>
      </c>
      <c r="B39" s="24" t="n">
        <f aca="false">Assumptions!C14</f>
        <v>0.5</v>
      </c>
      <c r="C39" s="24" t="n">
        <f aca="false">Assumptions!D14</f>
        <v>1</v>
      </c>
      <c r="D39" s="24" t="n">
        <f aca="false">Assumptions!E14</f>
        <v>1.5</v>
      </c>
      <c r="E39" s="24" t="n">
        <f aca="false">Assumptions!F14</f>
        <v>1</v>
      </c>
      <c r="F39" s="24" t="n">
        <f aca="false">Assumptions!G14</f>
        <v>1</v>
      </c>
    </row>
    <row r="40" customFormat="false" ht="15" hidden="false" customHeight="false" outlineLevel="0" collapsed="false">
      <c r="A40" s="8" t="s">
        <v>91</v>
      </c>
      <c r="B40" s="22" t="n">
        <f aca="false">Assumptions!C13</f>
        <v>400</v>
      </c>
      <c r="C40" s="22" t="n">
        <f aca="false">Assumptions!D13</f>
        <v>250</v>
      </c>
      <c r="D40" s="22" t="n">
        <f aca="false">Assumptions!E13</f>
        <v>250</v>
      </c>
      <c r="E40" s="22" t="n">
        <f aca="false">Assumptions!F13</f>
        <v>250</v>
      </c>
      <c r="F40" s="22" t="n">
        <f aca="false">Assumptions!G13</f>
        <v>250</v>
      </c>
    </row>
    <row r="41" customFormat="false" ht="15" hidden="false" customHeight="false" outlineLevel="0" collapsed="false">
      <c r="A41" s="8" t="s">
        <v>48</v>
      </c>
      <c r="B41" s="22" t="n">
        <f aca="false">Assumptions!C18</f>
        <v>5500</v>
      </c>
      <c r="C41" s="22" t="n">
        <f aca="false">Assumptions!D18</f>
        <v>5500</v>
      </c>
      <c r="D41" s="22" t="n">
        <f aca="false">Assumptions!E18</f>
        <v>5500</v>
      </c>
      <c r="E41" s="22" t="n">
        <f aca="false">Assumptions!F18</f>
        <v>1500</v>
      </c>
      <c r="F41" s="22" t="n">
        <f aca="false">Assumptions!G18</f>
        <v>5500</v>
      </c>
    </row>
    <row r="42" customFormat="false" ht="15" hidden="false" customHeight="false" outlineLevel="0" collapsed="false">
      <c r="A42" s="8" t="s">
        <v>49</v>
      </c>
      <c r="B42" s="25" t="n">
        <f aca="false">IFERROR(Assumptions!C18/(Assumptions!C10*Assumptions!C11),"-")</f>
        <v>183.333333333333</v>
      </c>
      <c r="C42" s="25" t="n">
        <f aca="false">IFERROR(Assumptions!D18/(Assumptions!D10*Assumptions!D11),"-")</f>
        <v>146.666666666667</v>
      </c>
      <c r="D42" s="25" t="n">
        <f aca="false">IFERROR(Assumptions!E18/(Assumptions!E10*Assumptions!E11),"-")</f>
        <v>104.761904761905</v>
      </c>
      <c r="E42" s="25" t="n">
        <f aca="false">IFERROR(Assumptions!F18/(Assumptions!F10*Assumptions!F11),"-")</f>
        <v>40</v>
      </c>
      <c r="F42" s="25" t="n">
        <f aca="false">IFERROR(Assumptions!G18/(Assumptions!G10*Assumptions!G11),"-")</f>
        <v>146.666666666667</v>
      </c>
    </row>
    <row r="43" customFormat="false" ht="15" hidden="false" customHeight="false" outlineLevel="0" collapsed="false">
      <c r="A43" s="8" t="s">
        <v>51</v>
      </c>
      <c r="B43" s="26" t="str">
        <f aca="false">IFERROR(INDEX(Scenarios!$A$6:$A$65,MATCH(1,Scenarios!$G$6:$G$65,0)),"Not reached")</f>
        <v>Not reached</v>
      </c>
      <c r="C43" s="26" t="n">
        <f aca="false">IFERROR(INDEX(Scenarios!$A$6:$A$65,MATCH(1,Scenarios!$L$6:$L$65,0)),"Not reached")</f>
        <v>58</v>
      </c>
      <c r="D43" s="26" t="n">
        <f aca="false">IFERROR(INDEX(Scenarios!$A$6:$A$65,MATCH(1,Scenarios!$Q$6:$Q$65,0)),"Not reached")</f>
        <v>28</v>
      </c>
      <c r="E43" s="26" t="n">
        <f aca="false">IFERROR(INDEX(Scenarios!$A$6:$A$65,MATCH(1,Scenarios!$V$6:$V$65,0)),"Not reached")</f>
        <v>24</v>
      </c>
      <c r="F43" s="26" t="n">
        <f aca="false">IFERROR(INDEX(Scenarios!$A$6:$A$65,MATCH(1,Scenarios!$AA$6:$AA$65,0)),"Not reached")</f>
        <v>58</v>
      </c>
    </row>
    <row r="44" customFormat="false" ht="15" hidden="false" customHeight="false" outlineLevel="0" collapsed="false">
      <c r="A44" s="8" t="s">
        <v>53</v>
      </c>
      <c r="B44" s="25" t="str">
        <f aca="false">IFERROR(INDEX(Scenarios!$D$6:$D$65,MATCH(1,Scenarios!$G$6:$G$65,0)),"-")</f>
        <v>-</v>
      </c>
      <c r="C44" s="25" t="n">
        <f aca="false">IFERROR(INDEX(Scenarios!$I$6:$I$65,MATCH(1,Scenarios!$L$6:$L$65,0)),"-")</f>
        <v>200.415190629474</v>
      </c>
      <c r="D44" s="25" t="n">
        <f aca="false">IFERROR(INDEX(Scenarios!$N$6:$N$65,MATCH(1,Scenarios!$Q$6:$Q$65,0)),"-")</f>
        <v>164.493992781961</v>
      </c>
      <c r="E44" s="25" t="n">
        <f aca="false">IFERROR(INDEX(Scenarios!$S$6:$S$65,MATCH(1,Scenarios!$V$6:$V$65,0)),"-")</f>
        <v>80.0473506092325</v>
      </c>
      <c r="F44" s="25" t="n">
        <f aca="false">IFERROR(INDEX(Scenarios!$X$6:$X$65,MATCH(1,Scenarios!$AA$6:$AA$65,0)),"-")</f>
        <v>200.415190629474</v>
      </c>
    </row>
    <row r="45" customFormat="false" ht="15" hidden="false" customHeight="false" outlineLevel="0" collapsed="false">
      <c r="A45" s="8" t="s">
        <v>54</v>
      </c>
      <c r="B45" s="12" t="n">
        <f aca="false">-MIN(0,MIN(Scenarios!$F$6:$F$65))</f>
        <v>346204.076957531</v>
      </c>
      <c r="C45" s="12" t="n">
        <f aca="false">-MIN(0,MIN(Scenarios!$K$6:$K$65))</f>
        <v>202218.988286843</v>
      </c>
      <c r="D45" s="12" t="n">
        <f aca="false">-MIN(0,MIN(Scenarios!$P$6:$P$65))</f>
        <v>121246.731052646</v>
      </c>
      <c r="E45" s="12" t="n">
        <f aca="false">-MIN(0,MIN(Scenarios!$U$6:$U$65))</f>
        <v>45630.3195282251</v>
      </c>
      <c r="F45" s="12" t="n">
        <f aca="false">-MIN(0,MIN(Scenarios!$Z$6:$Z$65))</f>
        <v>202218.988286843</v>
      </c>
    </row>
    <row r="46" customFormat="false" ht="15" hidden="false" customHeight="false" outlineLevel="0" collapsed="false">
      <c r="A46" s="8" t="s">
        <v>56</v>
      </c>
      <c r="B46" s="26" t="n">
        <f aca="false">IF(B45=0,"-",INDEX(Scenarios!$A$6:$A$65,MATCH(MIN(Scenarios!$F$6:$F$65),Scenarios!$F$6:$F$65,0)))</f>
        <v>60</v>
      </c>
      <c r="C46" s="26" t="n">
        <f aca="false">IF(C45=0,"-",INDEX(Scenarios!$A$6:$A$65,MATCH(MIN(Scenarios!$K$6:$K$65),Scenarios!$K$6:$K$65,0)))</f>
        <v>57</v>
      </c>
      <c r="D46" s="26" t="n">
        <f aca="false">IF(D45=0,"-",INDEX(Scenarios!$A$6:$A$65,MATCH(MIN(Scenarios!$P$6:$P$65),Scenarios!$P$6:$P$65,0)))</f>
        <v>27</v>
      </c>
      <c r="E46" s="26" t="n">
        <f aca="false">IF(E45=0,"-",INDEX(Scenarios!$A$6:$A$65,MATCH(MIN(Scenarios!$U$6:$U$65),Scenarios!$U$6:$U$65,0)))</f>
        <v>26</v>
      </c>
      <c r="F46" s="26" t="n">
        <f aca="false">IF(F45=0,"-",INDEX(Scenarios!$A$6:$A$65,MATCH(MIN(Scenarios!$Z$6:$Z$65),Scenarios!$Z$6:$Z$65,0)))</f>
        <v>57</v>
      </c>
    </row>
    <row r="47" customFormat="false" ht="15" hidden="false" customHeight="false" outlineLevel="0" collapsed="false">
      <c r="A47" s="8" t="s">
        <v>61</v>
      </c>
      <c r="B47" s="27" t="str">
        <f aca="false">IF(Scenarios!E65&lt;0,"Yes","No")</f>
        <v>Yes</v>
      </c>
      <c r="C47" s="27" t="str">
        <f aca="false">IF(Scenarios!J65&lt;0,"Yes","No")</f>
        <v>No</v>
      </c>
      <c r="D47" s="27" t="str">
        <f aca="false">IF(Scenarios!O65&lt;0,"Yes","No")</f>
        <v>No</v>
      </c>
      <c r="E47" s="27" t="str">
        <f aca="false">IF(Scenarios!T65&lt;0,"Yes","No")</f>
        <v>No</v>
      </c>
      <c r="F47" s="27" t="str">
        <f aca="false">IF(Scenarios!Y65&lt;0,"Yes","No")</f>
        <v>No</v>
      </c>
    </row>
    <row r="48" customFormat="false" ht="15" hidden="false" customHeight="false" outlineLevel="0" collapsed="false">
      <c r="A48" s="8" t="s">
        <v>64</v>
      </c>
      <c r="B48" s="25" t="n">
        <f aca="false">INDEX(Scenarios!$D$6:$D$65,36)</f>
        <v>55.990908156729</v>
      </c>
      <c r="C48" s="25" t="n">
        <f aca="false">INDEX(Scenarios!$I$6:$I$65,36)</f>
        <v>137.182279806023</v>
      </c>
      <c r="D48" s="25" t="n">
        <f aca="false">INDEX(Scenarios!$N$6:$N$65,36)</f>
        <v>229.487592946656</v>
      </c>
      <c r="E48" s="25" t="n">
        <f aca="false">INDEX(Scenarios!$S$6:$S$65,36)</f>
        <v>137.182279806023</v>
      </c>
      <c r="F48" s="25" t="n">
        <f aca="false">INDEX(Scenarios!$X$6:$X$65,36)</f>
        <v>137.182279806023</v>
      </c>
    </row>
    <row r="49" customFormat="false" ht="15" hidden="false" customHeight="false" outlineLevel="0" collapsed="false">
      <c r="A49" s="8" t="s">
        <v>92</v>
      </c>
      <c r="B49" s="25" t="n">
        <f aca="false">IFERROR(Assumptions!$B$29*Assumptions!C14/Assumptions!C12,"-")</f>
        <v>80</v>
      </c>
      <c r="C49" s="25" t="n">
        <f aca="false">IFERROR(Assumptions!$B$29*Assumptions!D14/Assumptions!D12,"-")</f>
        <v>266.666666666667</v>
      </c>
      <c r="D49" s="25" t="n">
        <f aca="false">IFERROR(Assumptions!$B$29*Assumptions!E14/Assumptions!E12,"-")</f>
        <v>600</v>
      </c>
      <c r="E49" s="25" t="n">
        <f aca="false">IFERROR(Assumptions!$B$29*Assumptions!F14/Assumptions!F12,"-")</f>
        <v>266.666666666667</v>
      </c>
      <c r="F49" s="25" t="n">
        <f aca="false">IFERROR(Assumptions!$B$29*Assumptions!G14/Assumptions!G12,"-")</f>
        <v>266.666666666667</v>
      </c>
    </row>
    <row r="50" customFormat="false" ht="15" hidden="false" customHeight="false" outlineLevel="0" collapsed="false">
      <c r="A50" s="8" t="s">
        <v>59</v>
      </c>
      <c r="B50" s="12" t="n">
        <f aca="false">B45+Assumptions!$B$41*Assumptions!C18</f>
        <v>368204.076957531</v>
      </c>
      <c r="C50" s="12" t="n">
        <f aca="false">C45+Assumptions!$B$41*Assumptions!D18</f>
        <v>224218.988286843</v>
      </c>
      <c r="D50" s="12" t="n">
        <f aca="false">D45+Assumptions!$B$41*Assumptions!E18</f>
        <v>143246.731052646</v>
      </c>
      <c r="E50" s="12" t="n">
        <f aca="false">E45+Assumptions!$B$41*Assumptions!F18</f>
        <v>51630.3195282251</v>
      </c>
      <c r="F50" s="12" t="n">
        <f aca="false">F45+Assumptions!$B$41*Assumptions!G18</f>
        <v>224218.988286843</v>
      </c>
    </row>
    <row r="51" customFormat="false" ht="15" hidden="false" customHeight="false" outlineLevel="0" collapsed="false">
      <c r="A51" s="20" t="s">
        <v>93</v>
      </c>
    </row>
  </sheetData>
  <mergeCells count="6">
    <mergeCell ref="D26:F26"/>
    <mergeCell ref="D27:F27"/>
    <mergeCell ref="D28:F28"/>
    <mergeCell ref="D29:F29"/>
    <mergeCell ref="D30:F30"/>
    <mergeCell ref="D31:F31"/>
  </mergeCells>
  <conditionalFormatting sqref="B47:F47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19"/>
    <col collapsed="false" customWidth="true" hidden="false" outlineLevel="0" max="7" min="7" style="0" width="15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28" t="s">
        <v>21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4"/>
      <c r="C4" s="4"/>
      <c r="D4" s="4"/>
      <c r="E4" s="4"/>
      <c r="F4" s="4"/>
      <c r="G4" s="4"/>
      <c r="H4" s="4"/>
    </row>
    <row r="5" customFormat="false" ht="91" hidden="false" customHeight="false" outlineLevel="0" collapsed="false">
      <c r="A5" s="29" t="s">
        <v>96</v>
      </c>
      <c r="B5" s="30" t="s">
        <v>97</v>
      </c>
      <c r="C5" s="31" t="s">
        <v>98</v>
      </c>
    </row>
    <row r="6" customFormat="false" ht="15" hidden="false" customHeight="false" outlineLevel="0" collapsed="false">
      <c r="A6" s="29" t="s">
        <v>99</v>
      </c>
      <c r="B6" s="32" t="n">
        <f aca="false">MATCH(B5,$C$9:$G$9,0)</f>
        <v>2</v>
      </c>
    </row>
    <row r="8" customFormat="false" ht="15" hidden="false" customHeight="false" outlineLevel="0" collapsed="false">
      <c r="A8" s="3" t="s">
        <v>100</v>
      </c>
      <c r="B8" s="4"/>
      <c r="C8" s="4"/>
      <c r="D8" s="4"/>
      <c r="E8" s="4"/>
      <c r="F8" s="4"/>
      <c r="G8" s="4"/>
      <c r="H8" s="4"/>
    </row>
    <row r="9" customFormat="false" ht="30" hidden="false" customHeight="true" outlineLevel="0" collapsed="false">
      <c r="A9" s="16" t="s">
        <v>101</v>
      </c>
      <c r="B9" s="16" t="s">
        <v>102</v>
      </c>
      <c r="C9" s="16" t="s">
        <v>103</v>
      </c>
      <c r="D9" s="16" t="s">
        <v>97</v>
      </c>
      <c r="E9" s="16" t="s">
        <v>104</v>
      </c>
      <c r="F9" s="16" t="s">
        <v>105</v>
      </c>
      <c r="G9" s="16" t="s">
        <v>106</v>
      </c>
      <c r="H9" s="16" t="s">
        <v>107</v>
      </c>
    </row>
    <row r="10" customFormat="false" ht="30" hidden="false" customHeight="true" outlineLevel="0" collapsed="false">
      <c r="A10" s="8" t="s">
        <v>108</v>
      </c>
      <c r="B10" s="9" t="n">
        <f aca="false">INDEX(C10:G10,$B$6)</f>
        <v>50</v>
      </c>
      <c r="C10" s="33" t="n">
        <v>40</v>
      </c>
      <c r="D10" s="33" t="n">
        <v>50</v>
      </c>
      <c r="E10" s="33" t="n">
        <v>70</v>
      </c>
      <c r="F10" s="33" t="n">
        <v>50</v>
      </c>
      <c r="G10" s="33" t="n">
        <v>50</v>
      </c>
      <c r="H10" s="31" t="s">
        <v>109</v>
      </c>
    </row>
    <row r="11" customFormat="false" ht="30" hidden="false" customHeight="true" outlineLevel="0" collapsed="false">
      <c r="A11" s="8" t="s">
        <v>110</v>
      </c>
      <c r="B11" s="34" t="n">
        <f aca="false">INDEX(C11:G11,$B$6)</f>
        <v>0.75</v>
      </c>
      <c r="C11" s="35" t="n">
        <v>0.75</v>
      </c>
      <c r="D11" s="35" t="n">
        <v>0.75</v>
      </c>
      <c r="E11" s="35" t="n">
        <v>0.75</v>
      </c>
      <c r="F11" s="35" t="n">
        <v>0.75</v>
      </c>
      <c r="G11" s="35" t="n">
        <v>0.75</v>
      </c>
      <c r="H11" s="31" t="s">
        <v>111</v>
      </c>
    </row>
    <row r="12" customFormat="false" ht="30" hidden="false" customHeight="true" outlineLevel="0" collapsed="false">
      <c r="A12" s="8" t="s">
        <v>112</v>
      </c>
      <c r="B12" s="34" t="n">
        <f aca="false">INDEX(C12:G12,$B$6)</f>
        <v>0.03</v>
      </c>
      <c r="C12" s="35" t="n">
        <v>0.05</v>
      </c>
      <c r="D12" s="35" t="n">
        <v>0.03</v>
      </c>
      <c r="E12" s="35" t="n">
        <v>0.02</v>
      </c>
      <c r="F12" s="35" t="n">
        <v>0.03</v>
      </c>
      <c r="G12" s="35" t="n">
        <v>0.03</v>
      </c>
      <c r="H12" s="31" t="s">
        <v>113</v>
      </c>
    </row>
    <row r="13" customFormat="false" ht="30" hidden="false" customHeight="true" outlineLevel="0" collapsed="false">
      <c r="A13" s="8" t="s">
        <v>114</v>
      </c>
      <c r="B13" s="9" t="n">
        <f aca="false">INDEX(C13:G13,$B$6)</f>
        <v>250</v>
      </c>
      <c r="C13" s="33" t="n">
        <v>400</v>
      </c>
      <c r="D13" s="33" t="n">
        <v>250</v>
      </c>
      <c r="E13" s="33" t="n">
        <v>250</v>
      </c>
      <c r="F13" s="33" t="n">
        <v>250</v>
      </c>
      <c r="G13" s="33" t="n">
        <v>250</v>
      </c>
      <c r="H13" s="31" t="s">
        <v>115</v>
      </c>
    </row>
    <row r="14" customFormat="false" ht="30" hidden="false" customHeight="true" outlineLevel="0" collapsed="false">
      <c r="A14" s="8" t="s">
        <v>116</v>
      </c>
      <c r="B14" s="15" t="n">
        <f aca="false">INDEX(C14:G14,$B$6)</f>
        <v>1</v>
      </c>
      <c r="C14" s="36" t="n">
        <v>0.5</v>
      </c>
      <c r="D14" s="36" t="n">
        <v>1</v>
      </c>
      <c r="E14" s="36" t="n">
        <v>1.5</v>
      </c>
      <c r="F14" s="36" t="n">
        <v>1</v>
      </c>
      <c r="G14" s="36" t="n">
        <v>1</v>
      </c>
      <c r="H14" s="31" t="s">
        <v>117</v>
      </c>
    </row>
    <row r="15" customFormat="false" ht="30" hidden="false" customHeight="true" outlineLevel="0" collapsed="false">
      <c r="A15" s="8" t="s">
        <v>118</v>
      </c>
      <c r="B15" s="9" t="n">
        <f aca="false">INDEX(C15:G15,$B$6)</f>
        <v>4000</v>
      </c>
      <c r="C15" s="33" t="n">
        <v>4000</v>
      </c>
      <c r="D15" s="33" t="n">
        <v>4000</v>
      </c>
      <c r="E15" s="33" t="n">
        <v>4000</v>
      </c>
      <c r="F15" s="33" t="n">
        <v>0</v>
      </c>
      <c r="G15" s="33" t="n">
        <v>4000</v>
      </c>
      <c r="H15" s="31" t="s">
        <v>119</v>
      </c>
    </row>
    <row r="16" customFormat="false" ht="30" hidden="false" customHeight="true" outlineLevel="0" collapsed="false">
      <c r="A16" s="8" t="s">
        <v>120</v>
      </c>
      <c r="B16" s="9" t="n">
        <f aca="false">INDEX(C16:G16,$B$6)</f>
        <v>0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1" t="s">
        <v>121</v>
      </c>
    </row>
    <row r="17" customFormat="false" ht="30" hidden="false" customHeight="true" outlineLevel="0" collapsed="false">
      <c r="A17" s="8" t="s">
        <v>122</v>
      </c>
      <c r="B17" s="9" t="n">
        <f aca="false">INDEX(C17:G17,$B$6)</f>
        <v>1500</v>
      </c>
      <c r="C17" s="33" t="n">
        <v>1500</v>
      </c>
      <c r="D17" s="33" t="n">
        <v>1500</v>
      </c>
      <c r="E17" s="33" t="n">
        <v>1500</v>
      </c>
      <c r="F17" s="33" t="n">
        <v>1500</v>
      </c>
      <c r="G17" s="33" t="n">
        <v>1500</v>
      </c>
      <c r="H17" s="31" t="s">
        <v>123</v>
      </c>
    </row>
    <row r="18" customFormat="false" ht="15" hidden="false" customHeight="false" outlineLevel="0" collapsed="false">
      <c r="A18" s="19" t="s">
        <v>124</v>
      </c>
      <c r="B18" s="9" t="n">
        <f aca="false">SUM(B15:B17)</f>
        <v>5500</v>
      </c>
      <c r="C18" s="9" t="n">
        <f aca="false">SUM(C15:C17)</f>
        <v>5500</v>
      </c>
      <c r="D18" s="9" t="n">
        <f aca="false">SUM(D15:D17)</f>
        <v>5500</v>
      </c>
      <c r="E18" s="9" t="n">
        <f aca="false">SUM(E15:E17)</f>
        <v>5500</v>
      </c>
      <c r="F18" s="9" t="n">
        <f aca="false">SUM(F15:F17)</f>
        <v>1500</v>
      </c>
      <c r="G18" s="9" t="n">
        <f aca="false">SUM(G15:G17)</f>
        <v>5500</v>
      </c>
    </row>
    <row r="20" customFormat="false" ht="15" hidden="false" customHeight="false" outlineLevel="0" collapsed="false">
      <c r="A20" s="3" t="s">
        <v>125</v>
      </c>
      <c r="B20" s="4"/>
      <c r="C20" s="4"/>
      <c r="D20" s="4"/>
      <c r="E20" s="4"/>
      <c r="F20" s="4"/>
      <c r="G20" s="4"/>
      <c r="H20" s="4"/>
    </row>
    <row r="21" customFormat="false" ht="57.45" hidden="false" customHeight="false" outlineLevel="0" collapsed="false">
      <c r="A21" s="8" t="s">
        <v>126</v>
      </c>
      <c r="B21" s="37" t="n">
        <v>6</v>
      </c>
      <c r="C21" s="31" t="s">
        <v>127</v>
      </c>
    </row>
    <row r="22" customFormat="false" ht="35.05" hidden="false" customHeight="false" outlineLevel="0" collapsed="false">
      <c r="A22" s="8" t="s">
        <v>128</v>
      </c>
      <c r="B22" s="38" t="n">
        <v>5</v>
      </c>
      <c r="C22" s="31" t="s">
        <v>129</v>
      </c>
    </row>
    <row r="23" customFormat="false" ht="35.05" hidden="false" customHeight="false" outlineLevel="0" collapsed="false">
      <c r="A23" s="8" t="s">
        <v>130</v>
      </c>
      <c r="B23" s="33" t="n">
        <v>300</v>
      </c>
      <c r="C23" s="31" t="s">
        <v>131</v>
      </c>
    </row>
    <row r="24" customFormat="false" ht="35.05" hidden="false" customHeight="false" outlineLevel="0" collapsed="false">
      <c r="A24" s="8" t="s">
        <v>132</v>
      </c>
      <c r="B24" s="38" t="n">
        <v>7</v>
      </c>
      <c r="C24" s="31" t="s">
        <v>133</v>
      </c>
    </row>
    <row r="25" customFormat="false" ht="57.45" hidden="false" customHeight="false" outlineLevel="0" collapsed="false">
      <c r="A25" s="8" t="s">
        <v>134</v>
      </c>
      <c r="B25" s="37" t="n">
        <v>4</v>
      </c>
      <c r="C25" s="31" t="s">
        <v>135</v>
      </c>
    </row>
    <row r="26" customFormat="false" ht="15" hidden="false" customHeight="false" outlineLevel="0" collapsed="false">
      <c r="A26" s="8" t="s">
        <v>136</v>
      </c>
      <c r="B26" s="38" t="n">
        <v>12</v>
      </c>
      <c r="C26" s="31"/>
    </row>
    <row r="27" customFormat="false" ht="23.85" hidden="false" customHeight="false" outlineLevel="0" collapsed="false">
      <c r="A27" s="8" t="s">
        <v>137</v>
      </c>
      <c r="B27" s="37" t="n">
        <v>6</v>
      </c>
      <c r="C27" s="31" t="s">
        <v>138</v>
      </c>
    </row>
    <row r="28" customFormat="false" ht="15" hidden="false" customHeight="false" outlineLevel="0" collapsed="false">
      <c r="A28" s="8" t="s">
        <v>139</v>
      </c>
      <c r="B28" s="38" t="n">
        <v>24</v>
      </c>
      <c r="C28" s="31"/>
    </row>
    <row r="29" customFormat="false" ht="23.85" hidden="false" customHeight="false" outlineLevel="0" collapsed="false">
      <c r="A29" s="8" t="s">
        <v>140</v>
      </c>
      <c r="B29" s="37" t="n">
        <v>8</v>
      </c>
      <c r="C29" s="31" t="s">
        <v>138</v>
      </c>
    </row>
    <row r="31" customFormat="false" ht="15" hidden="false" customHeight="false" outlineLevel="0" collapsed="false">
      <c r="A31" s="3" t="s">
        <v>141</v>
      </c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16" t="s">
        <v>142</v>
      </c>
      <c r="B32" s="16" t="s">
        <v>143</v>
      </c>
      <c r="C32" s="16" t="s">
        <v>144</v>
      </c>
      <c r="D32" s="16" t="s">
        <v>145</v>
      </c>
    </row>
    <row r="33" customFormat="false" ht="35.05" hidden="false" customHeight="false" outlineLevel="0" collapsed="false">
      <c r="A33" s="8" t="s">
        <v>146</v>
      </c>
      <c r="B33" s="38" t="n">
        <v>1</v>
      </c>
      <c r="C33" s="33" t="n">
        <v>3000</v>
      </c>
      <c r="D33" s="31" t="s">
        <v>147</v>
      </c>
    </row>
    <row r="34" customFormat="false" ht="68.65" hidden="false" customHeight="false" outlineLevel="0" collapsed="false">
      <c r="A34" s="8" t="s">
        <v>148</v>
      </c>
      <c r="B34" s="38" t="n">
        <v>12</v>
      </c>
      <c r="C34" s="33" t="n">
        <v>8000</v>
      </c>
      <c r="D34" s="31" t="s">
        <v>149</v>
      </c>
    </row>
    <row r="35" customFormat="false" ht="23.85" hidden="false" customHeight="false" outlineLevel="0" collapsed="false">
      <c r="A35" s="8" t="s">
        <v>150</v>
      </c>
      <c r="B35" s="38" t="n">
        <v>12</v>
      </c>
      <c r="C35" s="33" t="n">
        <v>5000</v>
      </c>
      <c r="D35" s="31" t="s">
        <v>151</v>
      </c>
    </row>
    <row r="36" customFormat="false" ht="79.85" hidden="false" customHeight="false" outlineLevel="0" collapsed="false">
      <c r="A36" s="8" t="s">
        <v>152</v>
      </c>
      <c r="B36" s="38" t="n">
        <v>24</v>
      </c>
      <c r="C36" s="33" t="n">
        <v>0</v>
      </c>
      <c r="D36" s="31" t="s">
        <v>153</v>
      </c>
    </row>
    <row r="37" customFormat="false" ht="15" hidden="false" customHeight="false" outlineLevel="0" collapsed="false">
      <c r="A37" s="8" t="s">
        <v>154</v>
      </c>
      <c r="B37" s="38" t="n">
        <v>1</v>
      </c>
      <c r="C37" s="33" t="n">
        <v>0</v>
      </c>
      <c r="D37" s="31"/>
    </row>
    <row r="38" customFormat="false" ht="15" hidden="false" customHeight="false" outlineLevel="0" collapsed="false">
      <c r="A38" s="8" t="s">
        <v>154</v>
      </c>
      <c r="B38" s="38" t="n">
        <v>1</v>
      </c>
      <c r="C38" s="33" t="n">
        <v>0</v>
      </c>
      <c r="D38" s="31"/>
    </row>
    <row r="40" customFormat="false" ht="15" hidden="false" customHeight="false" outlineLevel="0" collapsed="false">
      <c r="A40" s="3" t="s">
        <v>155</v>
      </c>
      <c r="B40" s="4"/>
      <c r="C40" s="4"/>
      <c r="D40" s="4"/>
      <c r="E40" s="4"/>
      <c r="F40" s="4"/>
      <c r="G40" s="4"/>
      <c r="H40" s="4"/>
    </row>
    <row r="41" customFormat="false" ht="23.85" hidden="false" customHeight="false" outlineLevel="0" collapsed="false">
      <c r="A41" s="8" t="s">
        <v>156</v>
      </c>
      <c r="B41" s="38" t="n">
        <v>4</v>
      </c>
      <c r="C41" s="31" t="s">
        <v>157</v>
      </c>
    </row>
    <row r="42" customFormat="false" ht="23.85" hidden="false" customHeight="false" outlineLevel="0" collapsed="false">
      <c r="A42" s="8" t="s">
        <v>158</v>
      </c>
      <c r="B42" s="38" t="n">
        <v>6</v>
      </c>
      <c r="C42" s="31" t="s">
        <v>159</v>
      </c>
    </row>
    <row r="43" customFormat="false" ht="23.85" hidden="false" customHeight="false" outlineLevel="0" collapsed="false">
      <c r="A43" s="8" t="s">
        <v>160</v>
      </c>
      <c r="B43" s="38" t="n">
        <v>12</v>
      </c>
      <c r="C43" s="31" t="s">
        <v>161</v>
      </c>
    </row>
    <row r="44" customFormat="false" ht="23.85" hidden="false" customHeight="false" outlineLevel="0" collapsed="false">
      <c r="A44" s="8" t="s">
        <v>162</v>
      </c>
      <c r="B44" s="38" t="n">
        <v>24</v>
      </c>
      <c r="C44" s="31" t="s">
        <v>163</v>
      </c>
    </row>
    <row r="45" customFormat="false" ht="68.65" hidden="false" customHeight="false" outlineLevel="0" collapsed="false">
      <c r="A45" s="8" t="s">
        <v>164</v>
      </c>
      <c r="B45" s="38" t="n">
        <v>36</v>
      </c>
      <c r="C45" s="31" t="s">
        <v>165</v>
      </c>
    </row>
  </sheetData>
  <dataValidations count="2">
    <dataValidation allowBlank="false" error="Choose one of the scenario names in row 9." errorStyle="stop" errorTitle="Pick a scenario" operator="between" showDropDown="false" showErrorMessage="true" showInputMessage="false" sqref="B5" type="list">
      <formula1>$C$9:$G$9</formula1>
      <formula2>0</formula2>
    </dataValidation>
    <dataValidation allowBlank="false" error="Enter a value between 0% and 100%." errorStyle="stop" errorTitle="Percentage needed" operator="between" showDropDown="false" showErrorMessage="true" showInputMessage="false" sqref="C11:G12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5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28" t="s">
        <v>166</v>
      </c>
    </row>
    <row r="2" customFormat="false" ht="15" hidden="false" customHeight="false" outlineLevel="0" collapsed="false">
      <c r="A2" s="2" t="str">
        <f aca="false">"Scenario: "&amp;Assumptions!B5&amp;"   (change it on the Assumptions sheet, cell B5)"</f>
        <v>Scenario: Base   (change it on the Assumptions sheet, cell B5)</v>
      </c>
    </row>
    <row r="4" customFormat="false" ht="42" hidden="false" customHeight="true" outlineLevel="0" collapsed="false">
      <c r="A4" s="39" t="s">
        <v>143</v>
      </c>
      <c r="B4" s="39" t="s">
        <v>75</v>
      </c>
      <c r="C4" s="39" t="s">
        <v>167</v>
      </c>
      <c r="D4" s="39" t="s">
        <v>168</v>
      </c>
      <c r="E4" s="39" t="s">
        <v>169</v>
      </c>
      <c r="F4" s="39" t="s">
        <v>170</v>
      </c>
      <c r="G4" s="39" t="s">
        <v>171</v>
      </c>
      <c r="H4" s="39" t="s">
        <v>172</v>
      </c>
      <c r="I4" s="39" t="s">
        <v>173</v>
      </c>
      <c r="J4" s="39" t="s">
        <v>174</v>
      </c>
      <c r="K4" s="39" t="s">
        <v>175</v>
      </c>
      <c r="L4" s="39" t="s">
        <v>176</v>
      </c>
      <c r="M4" s="39" t="s">
        <v>177</v>
      </c>
      <c r="N4" s="39" t="s">
        <v>178</v>
      </c>
      <c r="O4" s="39" t="s">
        <v>179</v>
      </c>
      <c r="P4" s="39" t="s">
        <v>180</v>
      </c>
    </row>
    <row r="5" customFormat="false" ht="15" hidden="false" customHeight="false" outlineLevel="0" collapsed="false">
      <c r="A5" s="26" t="n">
        <v>0</v>
      </c>
      <c r="B5" s="26"/>
      <c r="C5" s="40"/>
      <c r="D5" s="40"/>
      <c r="E5" s="40" t="n">
        <v>0</v>
      </c>
      <c r="F5" s="41"/>
      <c r="G5" s="41"/>
      <c r="H5" s="41"/>
      <c r="I5" s="41"/>
      <c r="J5" s="41"/>
      <c r="K5" s="41"/>
      <c r="L5" s="41"/>
      <c r="M5" s="41"/>
      <c r="N5" s="41"/>
      <c r="O5" s="41" t="n">
        <v>0</v>
      </c>
      <c r="P5" s="26"/>
    </row>
    <row r="6" customFormat="false" ht="15" hidden="false" customHeight="false" outlineLevel="0" collapsed="false">
      <c r="A6" s="26" t="n">
        <v>1</v>
      </c>
      <c r="B6" s="26" t="n">
        <f aca="false">IF(A6&lt;=Assumptions!$B$42,1,IF(A6&lt;=Assumptions!$B$43,2,IF(A6&lt;=Assumptions!$B$44,3,IF(A6&lt;=Assumptions!$B$45,4,5))))</f>
        <v>1</v>
      </c>
      <c r="C6" s="40" t="n">
        <f aca="false">IF($A6=Assumptions!$B$22,Assumptions!$B$21,IF($A6&lt;Assumptions!$B$24,0,IF($A6&lt;=Assumptions!$B$26,Assumptions!$B$25,IF($A6&lt;=Assumptions!$B$28,Assumptions!$B$27,Assumptions!$B$29))*Assumptions!$B$14))</f>
        <v>0</v>
      </c>
      <c r="D6" s="40" t="n">
        <f aca="false">E5*Assumptions!$B$12</f>
        <v>0</v>
      </c>
      <c r="E6" s="40" t="n">
        <f aca="false">E5-D6+C6</f>
        <v>0</v>
      </c>
      <c r="F6" s="41" t="n">
        <f aca="false">E6*Assumptions!$B$10</f>
        <v>0</v>
      </c>
      <c r="G6" s="41" t="n">
        <f aca="false">IF(A6=Assumptions!$B$22,Assumptions!$B$21*Assumptions!$B$23,0)</f>
        <v>0</v>
      </c>
      <c r="H6" s="41" t="n">
        <f aca="false">F6+G6</f>
        <v>0</v>
      </c>
      <c r="I6" s="41" t="n">
        <f aca="false">F6*(1-Assumptions!$B$11)</f>
        <v>0</v>
      </c>
      <c r="J6" s="41" t="n">
        <f aca="false">Assumptions!$B$18</f>
        <v>5500</v>
      </c>
      <c r="K6" s="41" t="n">
        <f aca="false">C6*Assumptions!$B$13</f>
        <v>0</v>
      </c>
      <c r="L6" s="41" t="n">
        <f aca="false">SUMIF(Assumptions!$B$33:$B$38,A6,Assumptions!$C$33:$C$38)</f>
        <v>3000</v>
      </c>
      <c r="M6" s="41" t="n">
        <f aca="false">I6+J6+K6+L6</f>
        <v>8500</v>
      </c>
      <c r="N6" s="41" t="n">
        <f aca="false">H6-M6</f>
        <v>-8500</v>
      </c>
      <c r="O6" s="41" t="n">
        <f aca="false">O5+N6</f>
        <v>-8500</v>
      </c>
      <c r="P6" s="26" t="n">
        <f aca="false">IF(AND(A6&gt;=Assumptions!$B$24,N6&gt;=0),1,0)</f>
        <v>0</v>
      </c>
    </row>
    <row r="7" customFormat="false" ht="15" hidden="false" customHeight="false" outlineLevel="0" collapsed="false">
      <c r="A7" s="26" t="n">
        <v>2</v>
      </c>
      <c r="B7" s="26" t="n">
        <f aca="false">IF(A7&lt;=Assumptions!$B$42,1,IF(A7&lt;=Assumptions!$B$43,2,IF(A7&lt;=Assumptions!$B$44,3,IF(A7&lt;=Assumptions!$B$45,4,5))))</f>
        <v>1</v>
      </c>
      <c r="C7" s="40" t="n">
        <f aca="false">IF($A7=Assumptions!$B$22,Assumptions!$B$21,IF($A7&lt;Assumptions!$B$24,0,IF($A7&lt;=Assumptions!$B$26,Assumptions!$B$25,IF($A7&lt;=Assumptions!$B$28,Assumptions!$B$27,Assumptions!$B$29))*Assumptions!$B$14))</f>
        <v>0</v>
      </c>
      <c r="D7" s="40" t="n">
        <f aca="false">E6*Assumptions!$B$12</f>
        <v>0</v>
      </c>
      <c r="E7" s="40" t="n">
        <f aca="false">E6-D7+C7</f>
        <v>0</v>
      </c>
      <c r="F7" s="41" t="n">
        <f aca="false">E7*Assumptions!$B$10</f>
        <v>0</v>
      </c>
      <c r="G7" s="41" t="n">
        <f aca="false">IF(A7=Assumptions!$B$22,Assumptions!$B$21*Assumptions!$B$23,0)</f>
        <v>0</v>
      </c>
      <c r="H7" s="41" t="n">
        <f aca="false">F7+G7</f>
        <v>0</v>
      </c>
      <c r="I7" s="41" t="n">
        <f aca="false">F7*(1-Assumptions!$B$11)</f>
        <v>0</v>
      </c>
      <c r="J7" s="41" t="n">
        <f aca="false">Assumptions!$B$18</f>
        <v>5500</v>
      </c>
      <c r="K7" s="41" t="n">
        <f aca="false">C7*Assumptions!$B$13</f>
        <v>0</v>
      </c>
      <c r="L7" s="41" t="n">
        <f aca="false">SUMIF(Assumptions!$B$33:$B$38,A7,Assumptions!$C$33:$C$38)</f>
        <v>0</v>
      </c>
      <c r="M7" s="41" t="n">
        <f aca="false">I7+J7+K7+L7</f>
        <v>5500</v>
      </c>
      <c r="N7" s="41" t="n">
        <f aca="false">H7-M7</f>
        <v>-5500</v>
      </c>
      <c r="O7" s="41" t="n">
        <f aca="false">O6+N7</f>
        <v>-14000</v>
      </c>
      <c r="P7" s="26" t="n">
        <f aca="false">IF(AND(A7&gt;=Assumptions!$B$24,N7&gt;=0),1,0)</f>
        <v>0</v>
      </c>
    </row>
    <row r="8" customFormat="false" ht="15" hidden="false" customHeight="false" outlineLevel="0" collapsed="false">
      <c r="A8" s="26" t="n">
        <v>3</v>
      </c>
      <c r="B8" s="26" t="n">
        <f aca="false">IF(A8&lt;=Assumptions!$B$42,1,IF(A8&lt;=Assumptions!$B$43,2,IF(A8&lt;=Assumptions!$B$44,3,IF(A8&lt;=Assumptions!$B$45,4,5))))</f>
        <v>1</v>
      </c>
      <c r="C8" s="40" t="n">
        <f aca="false">IF($A8=Assumptions!$B$22,Assumptions!$B$21,IF($A8&lt;Assumptions!$B$24,0,IF($A8&lt;=Assumptions!$B$26,Assumptions!$B$25,IF($A8&lt;=Assumptions!$B$28,Assumptions!$B$27,Assumptions!$B$29))*Assumptions!$B$14))</f>
        <v>0</v>
      </c>
      <c r="D8" s="40" t="n">
        <f aca="false">E7*Assumptions!$B$12</f>
        <v>0</v>
      </c>
      <c r="E8" s="40" t="n">
        <f aca="false">E7-D8+C8</f>
        <v>0</v>
      </c>
      <c r="F8" s="41" t="n">
        <f aca="false">E8*Assumptions!$B$10</f>
        <v>0</v>
      </c>
      <c r="G8" s="41" t="n">
        <f aca="false">IF(A8=Assumptions!$B$22,Assumptions!$B$21*Assumptions!$B$23,0)</f>
        <v>0</v>
      </c>
      <c r="H8" s="41" t="n">
        <f aca="false">F8+G8</f>
        <v>0</v>
      </c>
      <c r="I8" s="41" t="n">
        <f aca="false">F8*(1-Assumptions!$B$11)</f>
        <v>0</v>
      </c>
      <c r="J8" s="41" t="n">
        <f aca="false">Assumptions!$B$18</f>
        <v>5500</v>
      </c>
      <c r="K8" s="41" t="n">
        <f aca="false">C8*Assumptions!$B$13</f>
        <v>0</v>
      </c>
      <c r="L8" s="41" t="n">
        <f aca="false">SUMIF(Assumptions!$B$33:$B$38,A8,Assumptions!$C$33:$C$38)</f>
        <v>0</v>
      </c>
      <c r="M8" s="41" t="n">
        <f aca="false">I8+J8+K8+L8</f>
        <v>5500</v>
      </c>
      <c r="N8" s="41" t="n">
        <f aca="false">H8-M8</f>
        <v>-5500</v>
      </c>
      <c r="O8" s="41" t="n">
        <f aca="false">O7+N8</f>
        <v>-19500</v>
      </c>
      <c r="P8" s="26" t="n">
        <f aca="false">IF(AND(A8&gt;=Assumptions!$B$24,N8&gt;=0),1,0)</f>
        <v>0</v>
      </c>
    </row>
    <row r="9" customFormat="false" ht="15" hidden="false" customHeight="false" outlineLevel="0" collapsed="false">
      <c r="A9" s="26" t="n">
        <v>4</v>
      </c>
      <c r="B9" s="26" t="n">
        <f aca="false">IF(A9&lt;=Assumptions!$B$42,1,IF(A9&lt;=Assumptions!$B$43,2,IF(A9&lt;=Assumptions!$B$44,3,IF(A9&lt;=Assumptions!$B$45,4,5))))</f>
        <v>1</v>
      </c>
      <c r="C9" s="40" t="n">
        <f aca="false">IF($A9=Assumptions!$B$22,Assumptions!$B$21,IF($A9&lt;Assumptions!$B$24,0,IF($A9&lt;=Assumptions!$B$26,Assumptions!$B$25,IF($A9&lt;=Assumptions!$B$28,Assumptions!$B$27,Assumptions!$B$29))*Assumptions!$B$14))</f>
        <v>0</v>
      </c>
      <c r="D9" s="40" t="n">
        <f aca="false">E8*Assumptions!$B$12</f>
        <v>0</v>
      </c>
      <c r="E9" s="40" t="n">
        <f aca="false">E8-D9+C9</f>
        <v>0</v>
      </c>
      <c r="F9" s="41" t="n">
        <f aca="false">E9*Assumptions!$B$10</f>
        <v>0</v>
      </c>
      <c r="G9" s="41" t="n">
        <f aca="false">IF(A9=Assumptions!$B$22,Assumptions!$B$21*Assumptions!$B$23,0)</f>
        <v>0</v>
      </c>
      <c r="H9" s="41" t="n">
        <f aca="false">F9+G9</f>
        <v>0</v>
      </c>
      <c r="I9" s="41" t="n">
        <f aca="false">F9*(1-Assumptions!$B$11)</f>
        <v>0</v>
      </c>
      <c r="J9" s="41" t="n">
        <f aca="false">Assumptions!$B$18</f>
        <v>5500</v>
      </c>
      <c r="K9" s="41" t="n">
        <f aca="false">C9*Assumptions!$B$13</f>
        <v>0</v>
      </c>
      <c r="L9" s="41" t="n">
        <f aca="false">SUMIF(Assumptions!$B$33:$B$38,A9,Assumptions!$C$33:$C$38)</f>
        <v>0</v>
      </c>
      <c r="M9" s="41" t="n">
        <f aca="false">I9+J9+K9+L9</f>
        <v>5500</v>
      </c>
      <c r="N9" s="41" t="n">
        <f aca="false">H9-M9</f>
        <v>-5500</v>
      </c>
      <c r="O9" s="41" t="n">
        <f aca="false">O8+N9</f>
        <v>-25000</v>
      </c>
      <c r="P9" s="26" t="n">
        <f aca="false">IF(AND(A9&gt;=Assumptions!$B$24,N9&gt;=0),1,0)</f>
        <v>0</v>
      </c>
    </row>
    <row r="10" customFormat="false" ht="15" hidden="false" customHeight="false" outlineLevel="0" collapsed="false">
      <c r="A10" s="26" t="n">
        <v>5</v>
      </c>
      <c r="B10" s="26" t="n">
        <f aca="false">IF(A10&lt;=Assumptions!$B$42,1,IF(A10&lt;=Assumptions!$B$43,2,IF(A10&lt;=Assumptions!$B$44,3,IF(A10&lt;=Assumptions!$B$45,4,5))))</f>
        <v>1</v>
      </c>
      <c r="C10" s="40" t="n">
        <f aca="false">IF($A10=Assumptions!$B$22,Assumptions!$B$21,IF($A10&lt;Assumptions!$B$24,0,IF($A10&lt;=Assumptions!$B$26,Assumptions!$B$25,IF($A10&lt;=Assumptions!$B$28,Assumptions!$B$27,Assumptions!$B$29))*Assumptions!$B$14))</f>
        <v>6</v>
      </c>
      <c r="D10" s="40" t="n">
        <f aca="false">E9*Assumptions!$B$12</f>
        <v>0</v>
      </c>
      <c r="E10" s="40" t="n">
        <f aca="false">E9-D10+C10</f>
        <v>6</v>
      </c>
      <c r="F10" s="41" t="n">
        <f aca="false">E10*Assumptions!$B$10</f>
        <v>300</v>
      </c>
      <c r="G10" s="41" t="n">
        <f aca="false">IF(A10=Assumptions!$B$22,Assumptions!$B$21*Assumptions!$B$23,0)</f>
        <v>1800</v>
      </c>
      <c r="H10" s="41" t="n">
        <f aca="false">F10+G10</f>
        <v>2100</v>
      </c>
      <c r="I10" s="41" t="n">
        <f aca="false">F10*(1-Assumptions!$B$11)</f>
        <v>75</v>
      </c>
      <c r="J10" s="41" t="n">
        <f aca="false">Assumptions!$B$18</f>
        <v>5500</v>
      </c>
      <c r="K10" s="41" t="n">
        <f aca="false">C10*Assumptions!$B$13</f>
        <v>1500</v>
      </c>
      <c r="L10" s="41" t="n">
        <f aca="false">SUMIF(Assumptions!$B$33:$B$38,A10,Assumptions!$C$33:$C$38)</f>
        <v>0</v>
      </c>
      <c r="M10" s="41" t="n">
        <f aca="false">I10+J10+K10+L10</f>
        <v>7075</v>
      </c>
      <c r="N10" s="41" t="n">
        <f aca="false">H10-M10</f>
        <v>-4975</v>
      </c>
      <c r="O10" s="41" t="n">
        <f aca="false">O9+N10</f>
        <v>-29975</v>
      </c>
      <c r="P10" s="26" t="n">
        <f aca="false">IF(AND(A10&gt;=Assumptions!$B$24,N10&gt;=0),1,0)</f>
        <v>0</v>
      </c>
    </row>
    <row r="11" customFormat="false" ht="15" hidden="false" customHeight="false" outlineLevel="0" collapsed="false">
      <c r="A11" s="26" t="n">
        <v>6</v>
      </c>
      <c r="B11" s="26" t="n">
        <f aca="false">IF(A11&lt;=Assumptions!$B$42,1,IF(A11&lt;=Assumptions!$B$43,2,IF(A11&lt;=Assumptions!$B$44,3,IF(A11&lt;=Assumptions!$B$45,4,5))))</f>
        <v>1</v>
      </c>
      <c r="C11" s="40" t="n">
        <f aca="false">IF($A11=Assumptions!$B$22,Assumptions!$B$21,IF($A11&lt;Assumptions!$B$24,0,IF($A11&lt;=Assumptions!$B$26,Assumptions!$B$25,IF($A11&lt;=Assumptions!$B$28,Assumptions!$B$27,Assumptions!$B$29))*Assumptions!$B$14))</f>
        <v>0</v>
      </c>
      <c r="D11" s="40" t="n">
        <f aca="false">E10*Assumptions!$B$12</f>
        <v>0.18</v>
      </c>
      <c r="E11" s="40" t="n">
        <f aca="false">E10-D11+C11</f>
        <v>5.82</v>
      </c>
      <c r="F11" s="41" t="n">
        <f aca="false">E11*Assumptions!$B$10</f>
        <v>291</v>
      </c>
      <c r="G11" s="41" t="n">
        <f aca="false">IF(A11=Assumptions!$B$22,Assumptions!$B$21*Assumptions!$B$23,0)</f>
        <v>0</v>
      </c>
      <c r="H11" s="41" t="n">
        <f aca="false">F11+G11</f>
        <v>291</v>
      </c>
      <c r="I11" s="41" t="n">
        <f aca="false">F11*(1-Assumptions!$B$11)</f>
        <v>72.75</v>
      </c>
      <c r="J11" s="41" t="n">
        <f aca="false">Assumptions!$B$18</f>
        <v>5500</v>
      </c>
      <c r="K11" s="41" t="n">
        <f aca="false">C11*Assumptions!$B$13</f>
        <v>0</v>
      </c>
      <c r="L11" s="41" t="n">
        <f aca="false">SUMIF(Assumptions!$B$33:$B$38,A11,Assumptions!$C$33:$C$38)</f>
        <v>0</v>
      </c>
      <c r="M11" s="41" t="n">
        <f aca="false">I11+J11+K11+L11</f>
        <v>5572.75</v>
      </c>
      <c r="N11" s="41" t="n">
        <f aca="false">H11-M11</f>
        <v>-5281.75</v>
      </c>
      <c r="O11" s="41" t="n">
        <f aca="false">O10+N11</f>
        <v>-35256.75</v>
      </c>
      <c r="P11" s="26" t="n">
        <f aca="false">IF(AND(A11&gt;=Assumptions!$B$24,N11&gt;=0),1,0)</f>
        <v>0</v>
      </c>
    </row>
    <row r="12" customFormat="false" ht="15" hidden="false" customHeight="false" outlineLevel="0" collapsed="false">
      <c r="A12" s="26" t="n">
        <v>7</v>
      </c>
      <c r="B12" s="26" t="n">
        <f aca="false">IF(A12&lt;=Assumptions!$B$42,1,IF(A12&lt;=Assumptions!$B$43,2,IF(A12&lt;=Assumptions!$B$44,3,IF(A12&lt;=Assumptions!$B$45,4,5))))</f>
        <v>2</v>
      </c>
      <c r="C12" s="40" t="n">
        <f aca="false">IF($A12=Assumptions!$B$22,Assumptions!$B$21,IF($A12&lt;Assumptions!$B$24,0,IF($A12&lt;=Assumptions!$B$26,Assumptions!$B$25,IF($A12&lt;=Assumptions!$B$28,Assumptions!$B$27,Assumptions!$B$29))*Assumptions!$B$14))</f>
        <v>4</v>
      </c>
      <c r="D12" s="40" t="n">
        <f aca="false">E11*Assumptions!$B$12</f>
        <v>0.1746</v>
      </c>
      <c r="E12" s="40" t="n">
        <f aca="false">E11-D12+C12</f>
        <v>9.6454</v>
      </c>
      <c r="F12" s="41" t="n">
        <f aca="false">E12*Assumptions!$B$10</f>
        <v>482.27</v>
      </c>
      <c r="G12" s="41" t="n">
        <f aca="false">IF(A12=Assumptions!$B$22,Assumptions!$B$21*Assumptions!$B$23,0)</f>
        <v>0</v>
      </c>
      <c r="H12" s="41" t="n">
        <f aca="false">F12+G12</f>
        <v>482.27</v>
      </c>
      <c r="I12" s="41" t="n">
        <f aca="false">F12*(1-Assumptions!$B$11)</f>
        <v>120.5675</v>
      </c>
      <c r="J12" s="41" t="n">
        <f aca="false">Assumptions!$B$18</f>
        <v>5500</v>
      </c>
      <c r="K12" s="41" t="n">
        <f aca="false">C12*Assumptions!$B$13</f>
        <v>1000</v>
      </c>
      <c r="L12" s="41" t="n">
        <f aca="false">SUMIF(Assumptions!$B$33:$B$38,A12,Assumptions!$C$33:$C$38)</f>
        <v>0</v>
      </c>
      <c r="M12" s="41" t="n">
        <f aca="false">I12+J12+K12+L12</f>
        <v>6620.5675</v>
      </c>
      <c r="N12" s="41" t="n">
        <f aca="false">H12-M12</f>
        <v>-6138.2975</v>
      </c>
      <c r="O12" s="41" t="n">
        <f aca="false">O11+N12</f>
        <v>-41395.0475</v>
      </c>
      <c r="P12" s="26" t="n">
        <f aca="false">IF(AND(A12&gt;=Assumptions!$B$24,N12&gt;=0),1,0)</f>
        <v>0</v>
      </c>
    </row>
    <row r="13" customFormat="false" ht="15" hidden="false" customHeight="false" outlineLevel="0" collapsed="false">
      <c r="A13" s="26" t="n">
        <v>8</v>
      </c>
      <c r="B13" s="26" t="n">
        <f aca="false">IF(A13&lt;=Assumptions!$B$42,1,IF(A13&lt;=Assumptions!$B$43,2,IF(A13&lt;=Assumptions!$B$44,3,IF(A13&lt;=Assumptions!$B$45,4,5))))</f>
        <v>2</v>
      </c>
      <c r="C13" s="40" t="n">
        <f aca="false">IF($A13=Assumptions!$B$22,Assumptions!$B$21,IF($A13&lt;Assumptions!$B$24,0,IF($A13&lt;=Assumptions!$B$26,Assumptions!$B$25,IF($A13&lt;=Assumptions!$B$28,Assumptions!$B$27,Assumptions!$B$29))*Assumptions!$B$14))</f>
        <v>4</v>
      </c>
      <c r="D13" s="40" t="n">
        <f aca="false">E12*Assumptions!$B$12</f>
        <v>0.289362</v>
      </c>
      <c r="E13" s="40" t="n">
        <f aca="false">E12-D13+C13</f>
        <v>13.356038</v>
      </c>
      <c r="F13" s="41" t="n">
        <f aca="false">E13*Assumptions!$B$10</f>
        <v>667.8019</v>
      </c>
      <c r="G13" s="41" t="n">
        <f aca="false">IF(A13=Assumptions!$B$22,Assumptions!$B$21*Assumptions!$B$23,0)</f>
        <v>0</v>
      </c>
      <c r="H13" s="41" t="n">
        <f aca="false">F13+G13</f>
        <v>667.8019</v>
      </c>
      <c r="I13" s="41" t="n">
        <f aca="false">F13*(1-Assumptions!$B$11)</f>
        <v>166.950475</v>
      </c>
      <c r="J13" s="41" t="n">
        <f aca="false">Assumptions!$B$18</f>
        <v>5500</v>
      </c>
      <c r="K13" s="41" t="n">
        <f aca="false">C13*Assumptions!$B$13</f>
        <v>1000</v>
      </c>
      <c r="L13" s="41" t="n">
        <f aca="false">SUMIF(Assumptions!$B$33:$B$38,A13,Assumptions!$C$33:$C$38)</f>
        <v>0</v>
      </c>
      <c r="M13" s="41" t="n">
        <f aca="false">I13+J13+K13+L13</f>
        <v>6666.950475</v>
      </c>
      <c r="N13" s="41" t="n">
        <f aca="false">H13-M13</f>
        <v>-5999.148575</v>
      </c>
      <c r="O13" s="41" t="n">
        <f aca="false">O12+N13</f>
        <v>-47394.196075</v>
      </c>
      <c r="P13" s="26" t="n">
        <f aca="false">IF(AND(A13&gt;=Assumptions!$B$24,N13&gt;=0),1,0)</f>
        <v>0</v>
      </c>
    </row>
    <row r="14" customFormat="false" ht="15" hidden="false" customHeight="false" outlineLevel="0" collapsed="false">
      <c r="A14" s="26" t="n">
        <v>9</v>
      </c>
      <c r="B14" s="26" t="n">
        <f aca="false">IF(A14&lt;=Assumptions!$B$42,1,IF(A14&lt;=Assumptions!$B$43,2,IF(A14&lt;=Assumptions!$B$44,3,IF(A14&lt;=Assumptions!$B$45,4,5))))</f>
        <v>2</v>
      </c>
      <c r="C14" s="40" t="n">
        <f aca="false">IF($A14=Assumptions!$B$22,Assumptions!$B$21,IF($A14&lt;Assumptions!$B$24,0,IF($A14&lt;=Assumptions!$B$26,Assumptions!$B$25,IF($A14&lt;=Assumptions!$B$28,Assumptions!$B$27,Assumptions!$B$29))*Assumptions!$B$14))</f>
        <v>4</v>
      </c>
      <c r="D14" s="40" t="n">
        <f aca="false">E13*Assumptions!$B$12</f>
        <v>0.40068114</v>
      </c>
      <c r="E14" s="40" t="n">
        <f aca="false">E13-D14+C14</f>
        <v>16.95535686</v>
      </c>
      <c r="F14" s="41" t="n">
        <f aca="false">E14*Assumptions!$B$10</f>
        <v>847.767843</v>
      </c>
      <c r="G14" s="41" t="n">
        <f aca="false">IF(A14=Assumptions!$B$22,Assumptions!$B$21*Assumptions!$B$23,0)</f>
        <v>0</v>
      </c>
      <c r="H14" s="41" t="n">
        <f aca="false">F14+G14</f>
        <v>847.767843</v>
      </c>
      <c r="I14" s="41" t="n">
        <f aca="false">F14*(1-Assumptions!$B$11)</f>
        <v>211.94196075</v>
      </c>
      <c r="J14" s="41" t="n">
        <f aca="false">Assumptions!$B$18</f>
        <v>5500</v>
      </c>
      <c r="K14" s="41" t="n">
        <f aca="false">C14*Assumptions!$B$13</f>
        <v>1000</v>
      </c>
      <c r="L14" s="41" t="n">
        <f aca="false">SUMIF(Assumptions!$B$33:$B$38,A14,Assumptions!$C$33:$C$38)</f>
        <v>0</v>
      </c>
      <c r="M14" s="41" t="n">
        <f aca="false">I14+J14+K14+L14</f>
        <v>6711.94196075</v>
      </c>
      <c r="N14" s="41" t="n">
        <f aca="false">H14-M14</f>
        <v>-5864.17411775</v>
      </c>
      <c r="O14" s="41" t="n">
        <f aca="false">O13+N14</f>
        <v>-53258.37019275</v>
      </c>
      <c r="P14" s="26" t="n">
        <f aca="false">IF(AND(A14&gt;=Assumptions!$B$24,N14&gt;=0),1,0)</f>
        <v>0</v>
      </c>
    </row>
    <row r="15" customFormat="false" ht="15" hidden="false" customHeight="false" outlineLevel="0" collapsed="false">
      <c r="A15" s="26" t="n">
        <v>10</v>
      </c>
      <c r="B15" s="26" t="n">
        <f aca="false">IF(A15&lt;=Assumptions!$B$42,1,IF(A15&lt;=Assumptions!$B$43,2,IF(A15&lt;=Assumptions!$B$44,3,IF(A15&lt;=Assumptions!$B$45,4,5))))</f>
        <v>2</v>
      </c>
      <c r="C15" s="40" t="n">
        <f aca="false">IF($A15=Assumptions!$B$22,Assumptions!$B$21,IF($A15&lt;Assumptions!$B$24,0,IF($A15&lt;=Assumptions!$B$26,Assumptions!$B$25,IF($A15&lt;=Assumptions!$B$28,Assumptions!$B$27,Assumptions!$B$29))*Assumptions!$B$14))</f>
        <v>4</v>
      </c>
      <c r="D15" s="40" t="n">
        <f aca="false">E14*Assumptions!$B$12</f>
        <v>0.5086607058</v>
      </c>
      <c r="E15" s="40" t="n">
        <f aca="false">E14-D15+C15</f>
        <v>20.4466961542</v>
      </c>
      <c r="F15" s="41" t="n">
        <f aca="false">E15*Assumptions!$B$10</f>
        <v>1022.33480771</v>
      </c>
      <c r="G15" s="41" t="n">
        <f aca="false">IF(A15=Assumptions!$B$22,Assumptions!$B$21*Assumptions!$B$23,0)</f>
        <v>0</v>
      </c>
      <c r="H15" s="41" t="n">
        <f aca="false">F15+G15</f>
        <v>1022.33480771</v>
      </c>
      <c r="I15" s="41" t="n">
        <f aca="false">F15*(1-Assumptions!$B$11)</f>
        <v>255.5837019275</v>
      </c>
      <c r="J15" s="41" t="n">
        <f aca="false">Assumptions!$B$18</f>
        <v>5500</v>
      </c>
      <c r="K15" s="41" t="n">
        <f aca="false">C15*Assumptions!$B$13</f>
        <v>1000</v>
      </c>
      <c r="L15" s="41" t="n">
        <f aca="false">SUMIF(Assumptions!$B$33:$B$38,A15,Assumptions!$C$33:$C$38)</f>
        <v>0</v>
      </c>
      <c r="M15" s="41" t="n">
        <f aca="false">I15+J15+K15+L15</f>
        <v>6755.5837019275</v>
      </c>
      <c r="N15" s="41" t="n">
        <f aca="false">H15-M15</f>
        <v>-5733.2488942175</v>
      </c>
      <c r="O15" s="41" t="n">
        <f aca="false">O14+N15</f>
        <v>-58991.6190869675</v>
      </c>
      <c r="P15" s="26" t="n">
        <f aca="false">IF(AND(A15&gt;=Assumptions!$B$24,N15&gt;=0),1,0)</f>
        <v>0</v>
      </c>
    </row>
    <row r="16" customFormat="false" ht="15" hidden="false" customHeight="false" outlineLevel="0" collapsed="false">
      <c r="A16" s="26" t="n">
        <v>11</v>
      </c>
      <c r="B16" s="26" t="n">
        <f aca="false">IF(A16&lt;=Assumptions!$B$42,1,IF(A16&lt;=Assumptions!$B$43,2,IF(A16&lt;=Assumptions!$B$44,3,IF(A16&lt;=Assumptions!$B$45,4,5))))</f>
        <v>2</v>
      </c>
      <c r="C16" s="40" t="n">
        <f aca="false">IF($A16=Assumptions!$B$22,Assumptions!$B$21,IF($A16&lt;Assumptions!$B$24,0,IF($A16&lt;=Assumptions!$B$26,Assumptions!$B$25,IF($A16&lt;=Assumptions!$B$28,Assumptions!$B$27,Assumptions!$B$29))*Assumptions!$B$14))</f>
        <v>4</v>
      </c>
      <c r="D16" s="40" t="n">
        <f aca="false">E15*Assumptions!$B$12</f>
        <v>0.613400884626</v>
      </c>
      <c r="E16" s="40" t="n">
        <f aca="false">E15-D16+C16</f>
        <v>23.833295269574</v>
      </c>
      <c r="F16" s="41" t="n">
        <f aca="false">E16*Assumptions!$B$10</f>
        <v>1191.6647634787</v>
      </c>
      <c r="G16" s="41" t="n">
        <f aca="false">IF(A16=Assumptions!$B$22,Assumptions!$B$21*Assumptions!$B$23,0)</f>
        <v>0</v>
      </c>
      <c r="H16" s="41" t="n">
        <f aca="false">F16+G16</f>
        <v>1191.6647634787</v>
      </c>
      <c r="I16" s="41" t="n">
        <f aca="false">F16*(1-Assumptions!$B$11)</f>
        <v>297.916190869675</v>
      </c>
      <c r="J16" s="41" t="n">
        <f aca="false">Assumptions!$B$18</f>
        <v>5500</v>
      </c>
      <c r="K16" s="41" t="n">
        <f aca="false">C16*Assumptions!$B$13</f>
        <v>1000</v>
      </c>
      <c r="L16" s="41" t="n">
        <f aca="false">SUMIF(Assumptions!$B$33:$B$38,A16,Assumptions!$C$33:$C$38)</f>
        <v>0</v>
      </c>
      <c r="M16" s="41" t="n">
        <f aca="false">I16+J16+K16+L16</f>
        <v>6797.91619086968</v>
      </c>
      <c r="N16" s="41" t="n">
        <f aca="false">H16-M16</f>
        <v>-5606.25142739098</v>
      </c>
      <c r="O16" s="41" t="n">
        <f aca="false">O15+N16</f>
        <v>-64597.8705143585</v>
      </c>
      <c r="P16" s="26" t="n">
        <f aca="false">IF(AND(A16&gt;=Assumptions!$B$24,N16&gt;=0),1,0)</f>
        <v>0</v>
      </c>
    </row>
    <row r="17" customFormat="false" ht="15" hidden="false" customHeight="false" outlineLevel="0" collapsed="false">
      <c r="A17" s="26" t="n">
        <v>12</v>
      </c>
      <c r="B17" s="26" t="n">
        <f aca="false">IF(A17&lt;=Assumptions!$B$42,1,IF(A17&lt;=Assumptions!$B$43,2,IF(A17&lt;=Assumptions!$B$44,3,IF(A17&lt;=Assumptions!$B$45,4,5))))</f>
        <v>2</v>
      </c>
      <c r="C17" s="40" t="n">
        <f aca="false">IF($A17=Assumptions!$B$22,Assumptions!$B$21,IF($A17&lt;Assumptions!$B$24,0,IF($A17&lt;=Assumptions!$B$26,Assumptions!$B$25,IF($A17&lt;=Assumptions!$B$28,Assumptions!$B$27,Assumptions!$B$29))*Assumptions!$B$14))</f>
        <v>4</v>
      </c>
      <c r="D17" s="40" t="n">
        <f aca="false">E16*Assumptions!$B$12</f>
        <v>0.71499885808722</v>
      </c>
      <c r="E17" s="40" t="n">
        <f aca="false">E16-D17+C17</f>
        <v>27.1182964114868</v>
      </c>
      <c r="F17" s="41" t="n">
        <f aca="false">E17*Assumptions!$B$10</f>
        <v>1355.91482057434</v>
      </c>
      <c r="G17" s="41" t="n">
        <f aca="false">IF(A17=Assumptions!$B$22,Assumptions!$B$21*Assumptions!$B$23,0)</f>
        <v>0</v>
      </c>
      <c r="H17" s="41" t="n">
        <f aca="false">F17+G17</f>
        <v>1355.91482057434</v>
      </c>
      <c r="I17" s="41" t="n">
        <f aca="false">F17*(1-Assumptions!$B$11)</f>
        <v>338.978705143585</v>
      </c>
      <c r="J17" s="41" t="n">
        <f aca="false">Assumptions!$B$18</f>
        <v>5500</v>
      </c>
      <c r="K17" s="41" t="n">
        <f aca="false">C17*Assumptions!$B$13</f>
        <v>1000</v>
      </c>
      <c r="L17" s="41" t="n">
        <f aca="false">SUMIF(Assumptions!$B$33:$B$38,A17,Assumptions!$C$33:$C$38)</f>
        <v>13000</v>
      </c>
      <c r="M17" s="41" t="n">
        <f aca="false">I17+J17+K17+L17</f>
        <v>19838.9787051436</v>
      </c>
      <c r="N17" s="41" t="n">
        <f aca="false">H17-M17</f>
        <v>-18483.0638845692</v>
      </c>
      <c r="O17" s="41" t="n">
        <f aca="false">O16+N17</f>
        <v>-83080.9343989277</v>
      </c>
      <c r="P17" s="26" t="n">
        <f aca="false">IF(AND(A17&gt;=Assumptions!$B$24,N17&gt;=0),1,0)</f>
        <v>0</v>
      </c>
    </row>
    <row r="18" customFormat="false" ht="15" hidden="false" customHeight="false" outlineLevel="0" collapsed="false">
      <c r="A18" s="26" t="n">
        <v>13</v>
      </c>
      <c r="B18" s="26" t="n">
        <f aca="false">IF(A18&lt;=Assumptions!$B$42,1,IF(A18&lt;=Assumptions!$B$43,2,IF(A18&lt;=Assumptions!$B$44,3,IF(A18&lt;=Assumptions!$B$45,4,5))))</f>
        <v>3</v>
      </c>
      <c r="C18" s="40" t="n">
        <f aca="false">IF($A18=Assumptions!$B$22,Assumptions!$B$21,IF($A18&lt;Assumptions!$B$24,0,IF($A18&lt;=Assumptions!$B$26,Assumptions!$B$25,IF($A18&lt;=Assumptions!$B$28,Assumptions!$B$27,Assumptions!$B$29))*Assumptions!$B$14))</f>
        <v>6</v>
      </c>
      <c r="D18" s="40" t="n">
        <f aca="false">E17*Assumptions!$B$12</f>
        <v>0.813548892344603</v>
      </c>
      <c r="E18" s="40" t="n">
        <f aca="false">E17-D18+C18</f>
        <v>32.3047475191422</v>
      </c>
      <c r="F18" s="41" t="n">
        <f aca="false">E18*Assumptions!$B$10</f>
        <v>1615.23737595711</v>
      </c>
      <c r="G18" s="41" t="n">
        <f aca="false">IF(A18=Assumptions!$B$22,Assumptions!$B$21*Assumptions!$B$23,0)</f>
        <v>0</v>
      </c>
      <c r="H18" s="41" t="n">
        <f aca="false">F18+G18</f>
        <v>1615.23737595711</v>
      </c>
      <c r="I18" s="41" t="n">
        <f aca="false">F18*(1-Assumptions!$B$11)</f>
        <v>403.809343989277</v>
      </c>
      <c r="J18" s="41" t="n">
        <f aca="false">Assumptions!$B$18</f>
        <v>5500</v>
      </c>
      <c r="K18" s="41" t="n">
        <f aca="false">C18*Assumptions!$B$13</f>
        <v>1500</v>
      </c>
      <c r="L18" s="41" t="n">
        <f aca="false">SUMIF(Assumptions!$B$33:$B$38,A18,Assumptions!$C$33:$C$38)</f>
        <v>0</v>
      </c>
      <c r="M18" s="41" t="n">
        <f aca="false">I18+J18+K18+L18</f>
        <v>7403.80934398928</v>
      </c>
      <c r="N18" s="41" t="n">
        <f aca="false">H18-M18</f>
        <v>-5788.57196803217</v>
      </c>
      <c r="O18" s="41" t="n">
        <f aca="false">O17+N18</f>
        <v>-88869.5063669599</v>
      </c>
      <c r="P18" s="26" t="n">
        <f aca="false">IF(AND(A18&gt;=Assumptions!$B$24,N18&gt;=0),1,0)</f>
        <v>0</v>
      </c>
    </row>
    <row r="19" customFormat="false" ht="15" hidden="false" customHeight="false" outlineLevel="0" collapsed="false">
      <c r="A19" s="26" t="n">
        <v>14</v>
      </c>
      <c r="B19" s="26" t="n">
        <f aca="false">IF(A19&lt;=Assumptions!$B$42,1,IF(A19&lt;=Assumptions!$B$43,2,IF(A19&lt;=Assumptions!$B$44,3,IF(A19&lt;=Assumptions!$B$45,4,5))))</f>
        <v>3</v>
      </c>
      <c r="C19" s="40" t="n">
        <f aca="false">IF($A19=Assumptions!$B$22,Assumptions!$B$21,IF($A19&lt;Assumptions!$B$24,0,IF($A19&lt;=Assumptions!$B$26,Assumptions!$B$25,IF($A19&lt;=Assumptions!$B$28,Assumptions!$B$27,Assumptions!$B$29))*Assumptions!$B$14))</f>
        <v>6</v>
      </c>
      <c r="D19" s="40" t="n">
        <f aca="false">E18*Assumptions!$B$12</f>
        <v>0.969142425574265</v>
      </c>
      <c r="E19" s="40" t="n">
        <f aca="false">E18-D19+C19</f>
        <v>37.3356050935679</v>
      </c>
      <c r="F19" s="41" t="n">
        <f aca="false">E19*Assumptions!$B$10</f>
        <v>1866.7802546784</v>
      </c>
      <c r="G19" s="41" t="n">
        <f aca="false">IF(A19=Assumptions!$B$22,Assumptions!$B$21*Assumptions!$B$23,0)</f>
        <v>0</v>
      </c>
      <c r="H19" s="41" t="n">
        <f aca="false">F19+G19</f>
        <v>1866.7802546784</v>
      </c>
      <c r="I19" s="41" t="n">
        <f aca="false">F19*(1-Assumptions!$B$11)</f>
        <v>466.695063669599</v>
      </c>
      <c r="J19" s="41" t="n">
        <f aca="false">Assumptions!$B$18</f>
        <v>5500</v>
      </c>
      <c r="K19" s="41" t="n">
        <f aca="false">C19*Assumptions!$B$13</f>
        <v>1500</v>
      </c>
      <c r="L19" s="41" t="n">
        <f aca="false">SUMIF(Assumptions!$B$33:$B$38,A19,Assumptions!$C$33:$C$38)</f>
        <v>0</v>
      </c>
      <c r="M19" s="41" t="n">
        <f aca="false">I19+J19+K19+L19</f>
        <v>7466.6950636696</v>
      </c>
      <c r="N19" s="41" t="n">
        <f aca="false">H19-M19</f>
        <v>-5599.9148089912</v>
      </c>
      <c r="O19" s="41" t="n">
        <f aca="false">O18+N19</f>
        <v>-94469.4211759511</v>
      </c>
      <c r="P19" s="26" t="n">
        <f aca="false">IF(AND(A19&gt;=Assumptions!$B$24,N19&gt;=0),1,0)</f>
        <v>0</v>
      </c>
    </row>
    <row r="20" customFormat="false" ht="15" hidden="false" customHeight="false" outlineLevel="0" collapsed="false">
      <c r="A20" s="26" t="n">
        <v>15</v>
      </c>
      <c r="B20" s="26" t="n">
        <f aca="false">IF(A20&lt;=Assumptions!$B$42,1,IF(A20&lt;=Assumptions!$B$43,2,IF(A20&lt;=Assumptions!$B$44,3,IF(A20&lt;=Assumptions!$B$45,4,5))))</f>
        <v>3</v>
      </c>
      <c r="C20" s="40" t="n">
        <f aca="false">IF($A20=Assumptions!$B$22,Assumptions!$B$21,IF($A20&lt;Assumptions!$B$24,0,IF($A20&lt;=Assumptions!$B$26,Assumptions!$B$25,IF($A20&lt;=Assumptions!$B$28,Assumptions!$B$27,Assumptions!$B$29))*Assumptions!$B$14))</f>
        <v>6</v>
      </c>
      <c r="D20" s="40" t="n">
        <f aca="false">E19*Assumptions!$B$12</f>
        <v>1.12006815280704</v>
      </c>
      <c r="E20" s="40" t="n">
        <f aca="false">E19-D20+C20</f>
        <v>42.2155369407609</v>
      </c>
      <c r="F20" s="41" t="n">
        <f aca="false">E20*Assumptions!$B$10</f>
        <v>2110.77684703804</v>
      </c>
      <c r="G20" s="41" t="n">
        <f aca="false">IF(A20=Assumptions!$B$22,Assumptions!$B$21*Assumptions!$B$23,0)</f>
        <v>0</v>
      </c>
      <c r="H20" s="41" t="n">
        <f aca="false">F20+G20</f>
        <v>2110.77684703804</v>
      </c>
      <c r="I20" s="41" t="n">
        <f aca="false">F20*(1-Assumptions!$B$11)</f>
        <v>527.694211759511</v>
      </c>
      <c r="J20" s="41" t="n">
        <f aca="false">Assumptions!$B$18</f>
        <v>5500</v>
      </c>
      <c r="K20" s="41" t="n">
        <f aca="false">C20*Assumptions!$B$13</f>
        <v>1500</v>
      </c>
      <c r="L20" s="41" t="n">
        <f aca="false">SUMIF(Assumptions!$B$33:$B$38,A20,Assumptions!$C$33:$C$38)</f>
        <v>0</v>
      </c>
      <c r="M20" s="41" t="n">
        <f aca="false">I20+J20+K20+L20</f>
        <v>7527.69421175951</v>
      </c>
      <c r="N20" s="41" t="n">
        <f aca="false">H20-M20</f>
        <v>-5416.91736472147</v>
      </c>
      <c r="O20" s="41" t="n">
        <f aca="false">O19+N20</f>
        <v>-99886.3385406726</v>
      </c>
      <c r="P20" s="26" t="n">
        <f aca="false">IF(AND(A20&gt;=Assumptions!$B$24,N20&gt;=0),1,0)</f>
        <v>0</v>
      </c>
    </row>
    <row r="21" customFormat="false" ht="15" hidden="false" customHeight="false" outlineLevel="0" collapsed="false">
      <c r="A21" s="26" t="n">
        <v>16</v>
      </c>
      <c r="B21" s="26" t="n">
        <f aca="false">IF(A21&lt;=Assumptions!$B$42,1,IF(A21&lt;=Assumptions!$B$43,2,IF(A21&lt;=Assumptions!$B$44,3,IF(A21&lt;=Assumptions!$B$45,4,5))))</f>
        <v>3</v>
      </c>
      <c r="C21" s="40" t="n">
        <f aca="false">IF($A21=Assumptions!$B$22,Assumptions!$B$21,IF($A21&lt;Assumptions!$B$24,0,IF($A21&lt;=Assumptions!$B$26,Assumptions!$B$25,IF($A21&lt;=Assumptions!$B$28,Assumptions!$B$27,Assumptions!$B$29))*Assumptions!$B$14))</f>
        <v>6</v>
      </c>
      <c r="D21" s="40" t="n">
        <f aca="false">E20*Assumptions!$B$12</f>
        <v>1.26646610822283</v>
      </c>
      <c r="E21" s="40" t="n">
        <f aca="false">E20-D21+C21</f>
        <v>46.9490708325381</v>
      </c>
      <c r="F21" s="41" t="n">
        <f aca="false">E21*Assumptions!$B$10</f>
        <v>2347.4535416269</v>
      </c>
      <c r="G21" s="41" t="n">
        <f aca="false">IF(A21=Assumptions!$B$22,Assumptions!$B$21*Assumptions!$B$23,0)</f>
        <v>0</v>
      </c>
      <c r="H21" s="41" t="n">
        <f aca="false">F21+G21</f>
        <v>2347.4535416269</v>
      </c>
      <c r="I21" s="41" t="n">
        <f aca="false">F21*(1-Assumptions!$B$11)</f>
        <v>586.863385406726</v>
      </c>
      <c r="J21" s="41" t="n">
        <f aca="false">Assumptions!$B$18</f>
        <v>5500</v>
      </c>
      <c r="K21" s="41" t="n">
        <f aca="false">C21*Assumptions!$B$13</f>
        <v>1500</v>
      </c>
      <c r="L21" s="41" t="n">
        <f aca="false">SUMIF(Assumptions!$B$33:$B$38,A21,Assumptions!$C$33:$C$38)</f>
        <v>0</v>
      </c>
      <c r="M21" s="41" t="n">
        <f aca="false">I21+J21+K21+L21</f>
        <v>7586.86338540673</v>
      </c>
      <c r="N21" s="41" t="n">
        <f aca="false">H21-M21</f>
        <v>-5239.40984377982</v>
      </c>
      <c r="O21" s="41" t="n">
        <f aca="false">O20+N21</f>
        <v>-105125.748384452</v>
      </c>
      <c r="P21" s="26" t="n">
        <f aca="false">IF(AND(A21&gt;=Assumptions!$B$24,N21&gt;=0),1,0)</f>
        <v>0</v>
      </c>
    </row>
    <row r="22" customFormat="false" ht="15" hidden="false" customHeight="false" outlineLevel="0" collapsed="false">
      <c r="A22" s="26" t="n">
        <v>17</v>
      </c>
      <c r="B22" s="26" t="n">
        <f aca="false">IF(A22&lt;=Assumptions!$B$42,1,IF(A22&lt;=Assumptions!$B$43,2,IF(A22&lt;=Assumptions!$B$44,3,IF(A22&lt;=Assumptions!$B$45,4,5))))</f>
        <v>3</v>
      </c>
      <c r="C22" s="40" t="n">
        <f aca="false">IF($A22=Assumptions!$B$22,Assumptions!$B$21,IF($A22&lt;Assumptions!$B$24,0,IF($A22&lt;=Assumptions!$B$26,Assumptions!$B$25,IF($A22&lt;=Assumptions!$B$28,Assumptions!$B$27,Assumptions!$B$29))*Assumptions!$B$14))</f>
        <v>6</v>
      </c>
      <c r="D22" s="40" t="n">
        <f aca="false">E21*Assumptions!$B$12</f>
        <v>1.40847212497614</v>
      </c>
      <c r="E22" s="40" t="n">
        <f aca="false">E21-D22+C22</f>
        <v>51.5405987075619</v>
      </c>
      <c r="F22" s="41" t="n">
        <f aca="false">E22*Assumptions!$B$10</f>
        <v>2577.0299353781</v>
      </c>
      <c r="G22" s="41" t="n">
        <f aca="false">IF(A22=Assumptions!$B$22,Assumptions!$B$21*Assumptions!$B$23,0)</f>
        <v>0</v>
      </c>
      <c r="H22" s="41" t="n">
        <f aca="false">F22+G22</f>
        <v>2577.0299353781</v>
      </c>
      <c r="I22" s="41" t="n">
        <f aca="false">F22*(1-Assumptions!$B$11)</f>
        <v>644.257483844524</v>
      </c>
      <c r="J22" s="41" t="n">
        <f aca="false">Assumptions!$B$18</f>
        <v>5500</v>
      </c>
      <c r="K22" s="41" t="n">
        <f aca="false">C22*Assumptions!$B$13</f>
        <v>1500</v>
      </c>
      <c r="L22" s="41" t="n">
        <f aca="false">SUMIF(Assumptions!$B$33:$B$38,A22,Assumptions!$C$33:$C$38)</f>
        <v>0</v>
      </c>
      <c r="M22" s="41" t="n">
        <f aca="false">I22+J22+K22+L22</f>
        <v>7644.25748384452</v>
      </c>
      <c r="N22" s="41" t="n">
        <f aca="false">H22-M22</f>
        <v>-5067.22754846643</v>
      </c>
      <c r="O22" s="41" t="n">
        <f aca="false">O21+N22</f>
        <v>-110192.975932919</v>
      </c>
      <c r="P22" s="26" t="n">
        <f aca="false">IF(AND(A22&gt;=Assumptions!$B$24,N22&gt;=0),1,0)</f>
        <v>0</v>
      </c>
    </row>
    <row r="23" customFormat="false" ht="15" hidden="false" customHeight="false" outlineLevel="0" collapsed="false">
      <c r="A23" s="26" t="n">
        <v>18</v>
      </c>
      <c r="B23" s="26" t="n">
        <f aca="false">IF(A23&lt;=Assumptions!$B$42,1,IF(A23&lt;=Assumptions!$B$43,2,IF(A23&lt;=Assumptions!$B$44,3,IF(A23&lt;=Assumptions!$B$45,4,5))))</f>
        <v>3</v>
      </c>
      <c r="C23" s="40" t="n">
        <f aca="false">IF($A23=Assumptions!$B$22,Assumptions!$B$21,IF($A23&lt;Assumptions!$B$24,0,IF($A23&lt;=Assumptions!$B$26,Assumptions!$B$25,IF($A23&lt;=Assumptions!$B$28,Assumptions!$B$27,Assumptions!$B$29))*Assumptions!$B$14))</f>
        <v>6</v>
      </c>
      <c r="D23" s="40" t="n">
        <f aca="false">E22*Assumptions!$B$12</f>
        <v>1.54621796122686</v>
      </c>
      <c r="E23" s="40" t="n">
        <f aca="false">E22-D23+C23</f>
        <v>55.9943807463351</v>
      </c>
      <c r="F23" s="41" t="n">
        <f aca="false">E23*Assumptions!$B$10</f>
        <v>2799.71903731675</v>
      </c>
      <c r="G23" s="41" t="n">
        <f aca="false">IF(A23=Assumptions!$B$22,Assumptions!$B$21*Assumptions!$B$23,0)</f>
        <v>0</v>
      </c>
      <c r="H23" s="41" t="n">
        <f aca="false">F23+G23</f>
        <v>2799.71903731675</v>
      </c>
      <c r="I23" s="41" t="n">
        <f aca="false">F23*(1-Assumptions!$B$11)</f>
        <v>699.929759329188</v>
      </c>
      <c r="J23" s="41" t="n">
        <f aca="false">Assumptions!$B$18</f>
        <v>5500</v>
      </c>
      <c r="K23" s="41" t="n">
        <f aca="false">C23*Assumptions!$B$13</f>
        <v>1500</v>
      </c>
      <c r="L23" s="41" t="n">
        <f aca="false">SUMIF(Assumptions!$B$33:$B$38,A23,Assumptions!$C$33:$C$38)</f>
        <v>0</v>
      </c>
      <c r="M23" s="41" t="n">
        <f aca="false">I23+J23+K23+L23</f>
        <v>7699.92975932919</v>
      </c>
      <c r="N23" s="41" t="n">
        <f aca="false">H23-M23</f>
        <v>-4900.21072201244</v>
      </c>
      <c r="O23" s="41" t="n">
        <f aca="false">O22+N23</f>
        <v>-115093.186654931</v>
      </c>
      <c r="P23" s="26" t="n">
        <f aca="false">IF(AND(A23&gt;=Assumptions!$B$24,N23&gt;=0),1,0)</f>
        <v>0</v>
      </c>
    </row>
    <row r="24" customFormat="false" ht="15" hidden="false" customHeight="false" outlineLevel="0" collapsed="false">
      <c r="A24" s="26" t="n">
        <v>19</v>
      </c>
      <c r="B24" s="26" t="n">
        <f aca="false">IF(A24&lt;=Assumptions!$B$42,1,IF(A24&lt;=Assumptions!$B$43,2,IF(A24&lt;=Assumptions!$B$44,3,IF(A24&lt;=Assumptions!$B$45,4,5))))</f>
        <v>3</v>
      </c>
      <c r="C24" s="40" t="n">
        <f aca="false">IF($A24=Assumptions!$B$22,Assumptions!$B$21,IF($A24&lt;Assumptions!$B$24,0,IF($A24&lt;=Assumptions!$B$26,Assumptions!$B$25,IF($A24&lt;=Assumptions!$B$28,Assumptions!$B$27,Assumptions!$B$29))*Assumptions!$B$14))</f>
        <v>6</v>
      </c>
      <c r="D24" s="40" t="n">
        <f aca="false">E23*Assumptions!$B$12</f>
        <v>1.67983142239005</v>
      </c>
      <c r="E24" s="40" t="n">
        <f aca="false">E23-D24+C24</f>
        <v>60.314549323945</v>
      </c>
      <c r="F24" s="41" t="n">
        <f aca="false">E24*Assumptions!$B$10</f>
        <v>3015.72746619725</v>
      </c>
      <c r="G24" s="41" t="n">
        <f aca="false">IF(A24=Assumptions!$B$22,Assumptions!$B$21*Assumptions!$B$23,0)</f>
        <v>0</v>
      </c>
      <c r="H24" s="41" t="n">
        <f aca="false">F24+G24</f>
        <v>3015.72746619725</v>
      </c>
      <c r="I24" s="41" t="n">
        <f aca="false">F24*(1-Assumptions!$B$11)</f>
        <v>753.931866549313</v>
      </c>
      <c r="J24" s="41" t="n">
        <f aca="false">Assumptions!$B$18</f>
        <v>5500</v>
      </c>
      <c r="K24" s="41" t="n">
        <f aca="false">C24*Assumptions!$B$13</f>
        <v>1500</v>
      </c>
      <c r="L24" s="41" t="n">
        <f aca="false">SUMIF(Assumptions!$B$33:$B$38,A24,Assumptions!$C$33:$C$38)</f>
        <v>0</v>
      </c>
      <c r="M24" s="41" t="n">
        <f aca="false">I24+J24+K24+L24</f>
        <v>7753.93186654931</v>
      </c>
      <c r="N24" s="41" t="n">
        <f aca="false">H24-M24</f>
        <v>-4738.20440035206</v>
      </c>
      <c r="O24" s="41" t="n">
        <f aca="false">O23+N24</f>
        <v>-119831.391055283</v>
      </c>
      <c r="P24" s="26" t="n">
        <f aca="false">IF(AND(A24&gt;=Assumptions!$B$24,N24&gt;=0),1,0)</f>
        <v>0</v>
      </c>
    </row>
    <row r="25" customFormat="false" ht="15" hidden="false" customHeight="false" outlineLevel="0" collapsed="false">
      <c r="A25" s="26" t="n">
        <v>20</v>
      </c>
      <c r="B25" s="26" t="n">
        <f aca="false">IF(A25&lt;=Assumptions!$B$42,1,IF(A25&lt;=Assumptions!$B$43,2,IF(A25&lt;=Assumptions!$B$44,3,IF(A25&lt;=Assumptions!$B$45,4,5))))</f>
        <v>3</v>
      </c>
      <c r="C25" s="40" t="n">
        <f aca="false">IF($A25=Assumptions!$B$22,Assumptions!$B$21,IF($A25&lt;Assumptions!$B$24,0,IF($A25&lt;=Assumptions!$B$26,Assumptions!$B$25,IF($A25&lt;=Assumptions!$B$28,Assumptions!$B$27,Assumptions!$B$29))*Assumptions!$B$14))</f>
        <v>6</v>
      </c>
      <c r="D25" s="40" t="n">
        <f aca="false">E24*Assumptions!$B$12</f>
        <v>1.80943647971835</v>
      </c>
      <c r="E25" s="40" t="n">
        <f aca="false">E24-D25+C25</f>
        <v>64.5051128442267</v>
      </c>
      <c r="F25" s="41" t="n">
        <f aca="false">E25*Assumptions!$B$10</f>
        <v>3225.25564221133</v>
      </c>
      <c r="G25" s="41" t="n">
        <f aca="false">IF(A25=Assumptions!$B$22,Assumptions!$B$21*Assumptions!$B$23,0)</f>
        <v>0</v>
      </c>
      <c r="H25" s="41" t="n">
        <f aca="false">F25+G25</f>
        <v>3225.25564221133</v>
      </c>
      <c r="I25" s="41" t="n">
        <f aca="false">F25*(1-Assumptions!$B$11)</f>
        <v>806.313910552833</v>
      </c>
      <c r="J25" s="41" t="n">
        <f aca="false">Assumptions!$B$18</f>
        <v>5500</v>
      </c>
      <c r="K25" s="41" t="n">
        <f aca="false">C25*Assumptions!$B$13</f>
        <v>1500</v>
      </c>
      <c r="L25" s="41" t="n">
        <f aca="false">SUMIF(Assumptions!$B$33:$B$38,A25,Assumptions!$C$33:$C$38)</f>
        <v>0</v>
      </c>
      <c r="M25" s="41" t="n">
        <f aca="false">I25+J25+K25+L25</f>
        <v>7806.31391055283</v>
      </c>
      <c r="N25" s="41" t="n">
        <f aca="false">H25-M25</f>
        <v>-4581.0582683415</v>
      </c>
      <c r="O25" s="41" t="n">
        <f aca="false">O24+N25</f>
        <v>-124412.449323625</v>
      </c>
      <c r="P25" s="26" t="n">
        <f aca="false">IF(AND(A25&gt;=Assumptions!$B$24,N25&gt;=0),1,0)</f>
        <v>0</v>
      </c>
    </row>
    <row r="26" customFormat="false" ht="15" hidden="false" customHeight="false" outlineLevel="0" collapsed="false">
      <c r="A26" s="26" t="n">
        <v>21</v>
      </c>
      <c r="B26" s="26" t="n">
        <f aca="false">IF(A26&lt;=Assumptions!$B$42,1,IF(A26&lt;=Assumptions!$B$43,2,IF(A26&lt;=Assumptions!$B$44,3,IF(A26&lt;=Assumptions!$B$45,4,5))))</f>
        <v>3</v>
      </c>
      <c r="C26" s="40" t="n">
        <f aca="false">IF($A26=Assumptions!$B$22,Assumptions!$B$21,IF($A26&lt;Assumptions!$B$24,0,IF($A26&lt;=Assumptions!$B$26,Assumptions!$B$25,IF($A26&lt;=Assumptions!$B$28,Assumptions!$B$27,Assumptions!$B$29))*Assumptions!$B$14))</f>
        <v>6</v>
      </c>
      <c r="D26" s="40" t="n">
        <f aca="false">E25*Assumptions!$B$12</f>
        <v>1.9351533853268</v>
      </c>
      <c r="E26" s="40" t="n">
        <f aca="false">E25-D26+C26</f>
        <v>68.5699594588999</v>
      </c>
      <c r="F26" s="41" t="n">
        <f aca="false">E26*Assumptions!$B$10</f>
        <v>3428.49797294499</v>
      </c>
      <c r="G26" s="41" t="n">
        <f aca="false">IF(A26=Assumptions!$B$22,Assumptions!$B$21*Assumptions!$B$23,0)</f>
        <v>0</v>
      </c>
      <c r="H26" s="41" t="n">
        <f aca="false">F26+G26</f>
        <v>3428.49797294499</v>
      </c>
      <c r="I26" s="41" t="n">
        <f aca="false">F26*(1-Assumptions!$B$11)</f>
        <v>857.124493236248</v>
      </c>
      <c r="J26" s="41" t="n">
        <f aca="false">Assumptions!$B$18</f>
        <v>5500</v>
      </c>
      <c r="K26" s="41" t="n">
        <f aca="false">C26*Assumptions!$B$13</f>
        <v>1500</v>
      </c>
      <c r="L26" s="41" t="n">
        <f aca="false">SUMIF(Assumptions!$B$33:$B$38,A26,Assumptions!$C$33:$C$38)</f>
        <v>0</v>
      </c>
      <c r="M26" s="41" t="n">
        <f aca="false">I26+J26+K26+L26</f>
        <v>7857.12449323625</v>
      </c>
      <c r="N26" s="41" t="n">
        <f aca="false">H26-M26</f>
        <v>-4428.62652029126</v>
      </c>
      <c r="O26" s="41" t="n">
        <f aca="false">O25+N26</f>
        <v>-128841.075843916</v>
      </c>
      <c r="P26" s="26" t="n">
        <f aca="false">IF(AND(A26&gt;=Assumptions!$B$24,N26&gt;=0),1,0)</f>
        <v>0</v>
      </c>
    </row>
    <row r="27" customFormat="false" ht="15" hidden="false" customHeight="false" outlineLevel="0" collapsed="false">
      <c r="A27" s="26" t="n">
        <v>22</v>
      </c>
      <c r="B27" s="26" t="n">
        <f aca="false">IF(A27&lt;=Assumptions!$B$42,1,IF(A27&lt;=Assumptions!$B$43,2,IF(A27&lt;=Assumptions!$B$44,3,IF(A27&lt;=Assumptions!$B$45,4,5))))</f>
        <v>3</v>
      </c>
      <c r="C27" s="40" t="n">
        <f aca="false">IF($A27=Assumptions!$B$22,Assumptions!$B$21,IF($A27&lt;Assumptions!$B$24,0,IF($A27&lt;=Assumptions!$B$26,Assumptions!$B$25,IF($A27&lt;=Assumptions!$B$28,Assumptions!$B$27,Assumptions!$B$29))*Assumptions!$B$14))</f>
        <v>6</v>
      </c>
      <c r="D27" s="40" t="n">
        <f aca="false">E26*Assumptions!$B$12</f>
        <v>2.057098783767</v>
      </c>
      <c r="E27" s="40" t="n">
        <f aca="false">E26-D27+C27</f>
        <v>72.5128606751329</v>
      </c>
      <c r="F27" s="41" t="n">
        <f aca="false">E27*Assumptions!$B$10</f>
        <v>3625.64303375664</v>
      </c>
      <c r="G27" s="41" t="n">
        <f aca="false">IF(A27=Assumptions!$B$22,Assumptions!$B$21*Assumptions!$B$23,0)</f>
        <v>0</v>
      </c>
      <c r="H27" s="41" t="n">
        <f aca="false">F27+G27</f>
        <v>3625.64303375664</v>
      </c>
      <c r="I27" s="41" t="n">
        <f aca="false">F27*(1-Assumptions!$B$11)</f>
        <v>906.410758439161</v>
      </c>
      <c r="J27" s="41" t="n">
        <f aca="false">Assumptions!$B$18</f>
        <v>5500</v>
      </c>
      <c r="K27" s="41" t="n">
        <f aca="false">C27*Assumptions!$B$13</f>
        <v>1500</v>
      </c>
      <c r="L27" s="41" t="n">
        <f aca="false">SUMIF(Assumptions!$B$33:$B$38,A27,Assumptions!$C$33:$C$38)</f>
        <v>0</v>
      </c>
      <c r="M27" s="41" t="n">
        <f aca="false">I27+J27+K27+L27</f>
        <v>7906.41075843916</v>
      </c>
      <c r="N27" s="41" t="n">
        <f aca="false">H27-M27</f>
        <v>-4280.76772468252</v>
      </c>
      <c r="O27" s="41" t="n">
        <f aca="false">O26+N27</f>
        <v>-133121.843568599</v>
      </c>
      <c r="P27" s="26" t="n">
        <f aca="false">IF(AND(A27&gt;=Assumptions!$B$24,N27&gt;=0),1,0)</f>
        <v>0</v>
      </c>
    </row>
    <row r="28" customFormat="false" ht="15" hidden="false" customHeight="false" outlineLevel="0" collapsed="false">
      <c r="A28" s="26" t="n">
        <v>23</v>
      </c>
      <c r="B28" s="26" t="n">
        <f aca="false">IF(A28&lt;=Assumptions!$B$42,1,IF(A28&lt;=Assumptions!$B$43,2,IF(A28&lt;=Assumptions!$B$44,3,IF(A28&lt;=Assumptions!$B$45,4,5))))</f>
        <v>3</v>
      </c>
      <c r="C28" s="40" t="n">
        <f aca="false">IF($A28=Assumptions!$B$22,Assumptions!$B$21,IF($A28&lt;Assumptions!$B$24,0,IF($A28&lt;=Assumptions!$B$26,Assumptions!$B$25,IF($A28&lt;=Assumptions!$B$28,Assumptions!$B$27,Assumptions!$B$29))*Assumptions!$B$14))</f>
        <v>6</v>
      </c>
      <c r="D28" s="40" t="n">
        <f aca="false">E27*Assumptions!$B$12</f>
        <v>2.17538582025399</v>
      </c>
      <c r="E28" s="40" t="n">
        <f aca="false">E27-D28+C28</f>
        <v>76.3374748548789</v>
      </c>
      <c r="F28" s="41" t="n">
        <f aca="false">E28*Assumptions!$B$10</f>
        <v>3816.87374274394</v>
      </c>
      <c r="G28" s="41" t="n">
        <f aca="false">IF(A28=Assumptions!$B$22,Assumptions!$B$21*Assumptions!$B$23,0)</f>
        <v>0</v>
      </c>
      <c r="H28" s="41" t="n">
        <f aca="false">F28+G28</f>
        <v>3816.87374274394</v>
      </c>
      <c r="I28" s="41" t="n">
        <f aca="false">F28*(1-Assumptions!$B$11)</f>
        <v>954.218435685986</v>
      </c>
      <c r="J28" s="41" t="n">
        <f aca="false">Assumptions!$B$18</f>
        <v>5500</v>
      </c>
      <c r="K28" s="41" t="n">
        <f aca="false">C28*Assumptions!$B$13</f>
        <v>1500</v>
      </c>
      <c r="L28" s="41" t="n">
        <f aca="false">SUMIF(Assumptions!$B$33:$B$38,A28,Assumptions!$C$33:$C$38)</f>
        <v>0</v>
      </c>
      <c r="M28" s="41" t="n">
        <f aca="false">I28+J28+K28+L28</f>
        <v>7954.21843568599</v>
      </c>
      <c r="N28" s="41" t="n">
        <f aca="false">H28-M28</f>
        <v>-4137.34469294204</v>
      </c>
      <c r="O28" s="41" t="n">
        <f aca="false">O27+N28</f>
        <v>-137259.188261541</v>
      </c>
      <c r="P28" s="26" t="n">
        <f aca="false">IF(AND(A28&gt;=Assumptions!$B$24,N28&gt;=0),1,0)</f>
        <v>0</v>
      </c>
    </row>
    <row r="29" customFormat="false" ht="15" hidden="false" customHeight="false" outlineLevel="0" collapsed="false">
      <c r="A29" s="26" t="n">
        <v>24</v>
      </c>
      <c r="B29" s="26" t="n">
        <f aca="false">IF(A29&lt;=Assumptions!$B$42,1,IF(A29&lt;=Assumptions!$B$43,2,IF(A29&lt;=Assumptions!$B$44,3,IF(A29&lt;=Assumptions!$B$45,4,5))))</f>
        <v>3</v>
      </c>
      <c r="C29" s="40" t="n">
        <f aca="false">IF($A29=Assumptions!$B$22,Assumptions!$B$21,IF($A29&lt;Assumptions!$B$24,0,IF($A29&lt;=Assumptions!$B$26,Assumptions!$B$25,IF($A29&lt;=Assumptions!$B$28,Assumptions!$B$27,Assumptions!$B$29))*Assumptions!$B$14))</f>
        <v>6</v>
      </c>
      <c r="D29" s="40" t="n">
        <f aca="false">E28*Assumptions!$B$12</f>
        <v>2.29012424564637</v>
      </c>
      <c r="E29" s="40" t="n">
        <f aca="false">E28-D29+C29</f>
        <v>80.0473506092325</v>
      </c>
      <c r="F29" s="41" t="n">
        <f aca="false">E29*Assumptions!$B$10</f>
        <v>4002.36753046163</v>
      </c>
      <c r="G29" s="41" t="n">
        <f aca="false">IF(A29=Assumptions!$B$22,Assumptions!$B$21*Assumptions!$B$23,0)</f>
        <v>0</v>
      </c>
      <c r="H29" s="41" t="n">
        <f aca="false">F29+G29</f>
        <v>4002.36753046163</v>
      </c>
      <c r="I29" s="41" t="n">
        <f aca="false">F29*(1-Assumptions!$B$11)</f>
        <v>1000.59188261541</v>
      </c>
      <c r="J29" s="41" t="n">
        <f aca="false">Assumptions!$B$18</f>
        <v>5500</v>
      </c>
      <c r="K29" s="41" t="n">
        <f aca="false">C29*Assumptions!$B$13</f>
        <v>1500</v>
      </c>
      <c r="L29" s="41" t="n">
        <f aca="false">SUMIF(Assumptions!$B$33:$B$38,A29,Assumptions!$C$33:$C$38)</f>
        <v>0</v>
      </c>
      <c r="M29" s="41" t="n">
        <f aca="false">I29+J29+K29+L29</f>
        <v>8000.59188261541</v>
      </c>
      <c r="N29" s="41" t="n">
        <f aca="false">H29-M29</f>
        <v>-3998.22435215378</v>
      </c>
      <c r="O29" s="41" t="n">
        <f aca="false">O28+N29</f>
        <v>-141257.412613694</v>
      </c>
      <c r="P29" s="26" t="n">
        <f aca="false">IF(AND(A29&gt;=Assumptions!$B$24,N29&gt;=0),1,0)</f>
        <v>0</v>
      </c>
    </row>
    <row r="30" customFormat="false" ht="15" hidden="false" customHeight="false" outlineLevel="0" collapsed="false">
      <c r="A30" s="26" t="n">
        <v>25</v>
      </c>
      <c r="B30" s="26" t="n">
        <f aca="false">IF(A30&lt;=Assumptions!$B$42,1,IF(A30&lt;=Assumptions!$B$43,2,IF(A30&lt;=Assumptions!$B$44,3,IF(A30&lt;=Assumptions!$B$45,4,5))))</f>
        <v>4</v>
      </c>
      <c r="C30" s="40" t="n">
        <f aca="false">IF($A30=Assumptions!$B$22,Assumptions!$B$21,IF($A30&lt;Assumptions!$B$24,0,IF($A30&lt;=Assumptions!$B$26,Assumptions!$B$25,IF($A30&lt;=Assumptions!$B$28,Assumptions!$B$27,Assumptions!$B$29))*Assumptions!$B$14))</f>
        <v>8</v>
      </c>
      <c r="D30" s="40" t="n">
        <f aca="false">E29*Assumptions!$B$12</f>
        <v>2.40142051827698</v>
      </c>
      <c r="E30" s="40" t="n">
        <f aca="false">E29-D30+C30</f>
        <v>85.6459300909555</v>
      </c>
      <c r="F30" s="41" t="n">
        <f aca="false">E30*Assumptions!$B$10</f>
        <v>4282.29650454778</v>
      </c>
      <c r="G30" s="41" t="n">
        <f aca="false">IF(A30=Assumptions!$B$22,Assumptions!$B$21*Assumptions!$B$23,0)</f>
        <v>0</v>
      </c>
      <c r="H30" s="41" t="n">
        <f aca="false">F30+G30</f>
        <v>4282.29650454778</v>
      </c>
      <c r="I30" s="41" t="n">
        <f aca="false">F30*(1-Assumptions!$B$11)</f>
        <v>1070.57412613694</v>
      </c>
      <c r="J30" s="41" t="n">
        <f aca="false">Assumptions!$B$18</f>
        <v>5500</v>
      </c>
      <c r="K30" s="41" t="n">
        <f aca="false">C30*Assumptions!$B$13</f>
        <v>2000</v>
      </c>
      <c r="L30" s="41" t="n">
        <f aca="false">SUMIF(Assumptions!$B$33:$B$38,A30,Assumptions!$C$33:$C$38)</f>
        <v>0</v>
      </c>
      <c r="M30" s="41" t="n">
        <f aca="false">I30+J30+K30+L30</f>
        <v>8570.57412613694</v>
      </c>
      <c r="N30" s="41" t="n">
        <f aca="false">H30-M30</f>
        <v>-4288.27762158917</v>
      </c>
      <c r="O30" s="41" t="n">
        <f aca="false">O29+N30</f>
        <v>-145545.690235284</v>
      </c>
      <c r="P30" s="26" t="n">
        <f aca="false">IF(AND(A30&gt;=Assumptions!$B$24,N30&gt;=0),1,0)</f>
        <v>0</v>
      </c>
    </row>
    <row r="31" customFormat="false" ht="15" hidden="false" customHeight="false" outlineLevel="0" collapsed="false">
      <c r="A31" s="26" t="n">
        <v>26</v>
      </c>
      <c r="B31" s="26" t="n">
        <f aca="false">IF(A31&lt;=Assumptions!$B$42,1,IF(A31&lt;=Assumptions!$B$43,2,IF(A31&lt;=Assumptions!$B$44,3,IF(A31&lt;=Assumptions!$B$45,4,5))))</f>
        <v>4</v>
      </c>
      <c r="C31" s="40" t="n">
        <f aca="false">IF($A31=Assumptions!$B$22,Assumptions!$B$21,IF($A31&lt;Assumptions!$B$24,0,IF($A31&lt;=Assumptions!$B$26,Assumptions!$B$25,IF($A31&lt;=Assumptions!$B$28,Assumptions!$B$27,Assumptions!$B$29))*Assumptions!$B$14))</f>
        <v>8</v>
      </c>
      <c r="D31" s="40" t="n">
        <f aca="false">E30*Assumptions!$B$12</f>
        <v>2.56937790272867</v>
      </c>
      <c r="E31" s="40" t="n">
        <f aca="false">E30-D31+C31</f>
        <v>91.0765521882269</v>
      </c>
      <c r="F31" s="41" t="n">
        <f aca="false">E31*Assumptions!$B$10</f>
        <v>4553.82760941134</v>
      </c>
      <c r="G31" s="41" t="n">
        <f aca="false">IF(A31=Assumptions!$B$22,Assumptions!$B$21*Assumptions!$B$23,0)</f>
        <v>0</v>
      </c>
      <c r="H31" s="41" t="n">
        <f aca="false">F31+G31</f>
        <v>4553.82760941134</v>
      </c>
      <c r="I31" s="41" t="n">
        <f aca="false">F31*(1-Assumptions!$B$11)</f>
        <v>1138.45690235284</v>
      </c>
      <c r="J31" s="41" t="n">
        <f aca="false">Assumptions!$B$18</f>
        <v>5500</v>
      </c>
      <c r="K31" s="41" t="n">
        <f aca="false">C31*Assumptions!$B$13</f>
        <v>2000</v>
      </c>
      <c r="L31" s="41" t="n">
        <f aca="false">SUMIF(Assumptions!$B$33:$B$38,A31,Assumptions!$C$33:$C$38)</f>
        <v>0</v>
      </c>
      <c r="M31" s="41" t="n">
        <f aca="false">I31+J31+K31+L31</f>
        <v>8638.45690235284</v>
      </c>
      <c r="N31" s="41" t="n">
        <f aca="false">H31-M31</f>
        <v>-4084.62929294149</v>
      </c>
      <c r="O31" s="41" t="n">
        <f aca="false">O30+N31</f>
        <v>-149630.319528225</v>
      </c>
      <c r="P31" s="26" t="n">
        <f aca="false">IF(AND(A31&gt;=Assumptions!$B$24,N31&gt;=0),1,0)</f>
        <v>0</v>
      </c>
    </row>
    <row r="32" customFormat="false" ht="15" hidden="false" customHeight="false" outlineLevel="0" collapsed="false">
      <c r="A32" s="26" t="n">
        <v>27</v>
      </c>
      <c r="B32" s="26" t="n">
        <f aca="false">IF(A32&lt;=Assumptions!$B$42,1,IF(A32&lt;=Assumptions!$B$43,2,IF(A32&lt;=Assumptions!$B$44,3,IF(A32&lt;=Assumptions!$B$45,4,5))))</f>
        <v>4</v>
      </c>
      <c r="C32" s="40" t="n">
        <f aca="false">IF($A32=Assumptions!$B$22,Assumptions!$B$21,IF($A32&lt;Assumptions!$B$24,0,IF($A32&lt;=Assumptions!$B$26,Assumptions!$B$25,IF($A32&lt;=Assumptions!$B$28,Assumptions!$B$27,Assumptions!$B$29))*Assumptions!$B$14))</f>
        <v>8</v>
      </c>
      <c r="D32" s="40" t="n">
        <f aca="false">E31*Assumptions!$B$12</f>
        <v>2.73229656564681</v>
      </c>
      <c r="E32" s="40" t="n">
        <f aca="false">E31-D32+C32</f>
        <v>96.3442556225801</v>
      </c>
      <c r="F32" s="41" t="n">
        <f aca="false">E32*Assumptions!$B$10</f>
        <v>4817.212781129</v>
      </c>
      <c r="G32" s="41" t="n">
        <f aca="false">IF(A32=Assumptions!$B$22,Assumptions!$B$21*Assumptions!$B$23,0)</f>
        <v>0</v>
      </c>
      <c r="H32" s="41" t="n">
        <f aca="false">F32+G32</f>
        <v>4817.212781129</v>
      </c>
      <c r="I32" s="41" t="n">
        <f aca="false">F32*(1-Assumptions!$B$11)</f>
        <v>1204.30319528225</v>
      </c>
      <c r="J32" s="41" t="n">
        <f aca="false">Assumptions!$B$18</f>
        <v>5500</v>
      </c>
      <c r="K32" s="41" t="n">
        <f aca="false">C32*Assumptions!$B$13</f>
        <v>2000</v>
      </c>
      <c r="L32" s="41" t="n">
        <f aca="false">SUMIF(Assumptions!$B$33:$B$38,A32,Assumptions!$C$33:$C$38)</f>
        <v>0</v>
      </c>
      <c r="M32" s="41" t="n">
        <f aca="false">I32+J32+K32+L32</f>
        <v>8704.30319528225</v>
      </c>
      <c r="N32" s="41" t="n">
        <f aca="false">H32-M32</f>
        <v>-3887.09041415325</v>
      </c>
      <c r="O32" s="41" t="n">
        <f aca="false">O31+N32</f>
        <v>-153517.409942378</v>
      </c>
      <c r="P32" s="26" t="n">
        <f aca="false">IF(AND(A32&gt;=Assumptions!$B$24,N32&gt;=0),1,0)</f>
        <v>0</v>
      </c>
    </row>
    <row r="33" customFormat="false" ht="15" hidden="false" customHeight="false" outlineLevel="0" collapsed="false">
      <c r="A33" s="26" t="n">
        <v>28</v>
      </c>
      <c r="B33" s="26" t="n">
        <f aca="false">IF(A33&lt;=Assumptions!$B$42,1,IF(A33&lt;=Assumptions!$B$43,2,IF(A33&lt;=Assumptions!$B$44,3,IF(A33&lt;=Assumptions!$B$45,4,5))))</f>
        <v>4</v>
      </c>
      <c r="C33" s="40" t="n">
        <f aca="false">IF($A33=Assumptions!$B$22,Assumptions!$B$21,IF($A33&lt;Assumptions!$B$24,0,IF($A33&lt;=Assumptions!$B$26,Assumptions!$B$25,IF($A33&lt;=Assumptions!$B$28,Assumptions!$B$27,Assumptions!$B$29))*Assumptions!$B$14))</f>
        <v>8</v>
      </c>
      <c r="D33" s="40" t="n">
        <f aca="false">E32*Assumptions!$B$12</f>
        <v>2.8903276686774</v>
      </c>
      <c r="E33" s="40" t="n">
        <f aca="false">E32-D33+C33</f>
        <v>101.453927953903</v>
      </c>
      <c r="F33" s="41" t="n">
        <f aca="false">E33*Assumptions!$B$10</f>
        <v>5072.69639769513</v>
      </c>
      <c r="G33" s="41" t="n">
        <f aca="false">IF(A33=Assumptions!$B$22,Assumptions!$B$21*Assumptions!$B$23,0)</f>
        <v>0</v>
      </c>
      <c r="H33" s="41" t="n">
        <f aca="false">F33+G33</f>
        <v>5072.69639769513</v>
      </c>
      <c r="I33" s="41" t="n">
        <f aca="false">F33*(1-Assumptions!$B$11)</f>
        <v>1268.17409942378</v>
      </c>
      <c r="J33" s="41" t="n">
        <f aca="false">Assumptions!$B$18</f>
        <v>5500</v>
      </c>
      <c r="K33" s="41" t="n">
        <f aca="false">C33*Assumptions!$B$13</f>
        <v>2000</v>
      </c>
      <c r="L33" s="41" t="n">
        <f aca="false">SUMIF(Assumptions!$B$33:$B$38,A33,Assumptions!$C$33:$C$38)</f>
        <v>0</v>
      </c>
      <c r="M33" s="41" t="n">
        <f aca="false">I33+J33+K33+L33</f>
        <v>8768.17409942378</v>
      </c>
      <c r="N33" s="41" t="n">
        <f aca="false">H33-M33</f>
        <v>-3695.47770172865</v>
      </c>
      <c r="O33" s="41" t="n">
        <f aca="false">O32+N33</f>
        <v>-157212.887644107</v>
      </c>
      <c r="P33" s="26" t="n">
        <f aca="false">IF(AND(A33&gt;=Assumptions!$B$24,N33&gt;=0),1,0)</f>
        <v>0</v>
      </c>
    </row>
    <row r="34" customFormat="false" ht="15" hidden="false" customHeight="false" outlineLevel="0" collapsed="false">
      <c r="A34" s="26" t="n">
        <v>29</v>
      </c>
      <c r="B34" s="26" t="n">
        <f aca="false">IF(A34&lt;=Assumptions!$B$42,1,IF(A34&lt;=Assumptions!$B$43,2,IF(A34&lt;=Assumptions!$B$44,3,IF(A34&lt;=Assumptions!$B$45,4,5))))</f>
        <v>4</v>
      </c>
      <c r="C34" s="40" t="n">
        <f aca="false">IF($A34=Assumptions!$B$22,Assumptions!$B$21,IF($A34&lt;Assumptions!$B$24,0,IF($A34&lt;=Assumptions!$B$26,Assumptions!$B$25,IF($A34&lt;=Assumptions!$B$28,Assumptions!$B$27,Assumptions!$B$29))*Assumptions!$B$14))</f>
        <v>8</v>
      </c>
      <c r="D34" s="40" t="n">
        <f aca="false">E33*Assumptions!$B$12</f>
        <v>3.04361783861708</v>
      </c>
      <c r="E34" s="40" t="n">
        <f aca="false">E33-D34+C34</f>
        <v>106.410310115286</v>
      </c>
      <c r="F34" s="41" t="n">
        <f aca="false">E34*Assumptions!$B$10</f>
        <v>5320.51550576428</v>
      </c>
      <c r="G34" s="41" t="n">
        <f aca="false">IF(A34=Assumptions!$B$22,Assumptions!$B$21*Assumptions!$B$23,0)</f>
        <v>0</v>
      </c>
      <c r="H34" s="41" t="n">
        <f aca="false">F34+G34</f>
        <v>5320.51550576428</v>
      </c>
      <c r="I34" s="41" t="n">
        <f aca="false">F34*(1-Assumptions!$B$11)</f>
        <v>1330.12887644107</v>
      </c>
      <c r="J34" s="41" t="n">
        <f aca="false">Assumptions!$B$18</f>
        <v>5500</v>
      </c>
      <c r="K34" s="41" t="n">
        <f aca="false">C34*Assumptions!$B$13</f>
        <v>2000</v>
      </c>
      <c r="L34" s="41" t="n">
        <f aca="false">SUMIF(Assumptions!$B$33:$B$38,A34,Assumptions!$C$33:$C$38)</f>
        <v>0</v>
      </c>
      <c r="M34" s="41" t="n">
        <f aca="false">I34+J34+K34+L34</f>
        <v>8830.12887644107</v>
      </c>
      <c r="N34" s="41" t="n">
        <f aca="false">H34-M34</f>
        <v>-3509.61337067679</v>
      </c>
      <c r="O34" s="41" t="n">
        <f aca="false">O33+N34</f>
        <v>-160722.501014784</v>
      </c>
      <c r="P34" s="26" t="n">
        <f aca="false">IF(AND(A34&gt;=Assumptions!$B$24,N34&gt;=0),1,0)</f>
        <v>0</v>
      </c>
    </row>
    <row r="35" customFormat="false" ht="15" hidden="false" customHeight="false" outlineLevel="0" collapsed="false">
      <c r="A35" s="26" t="n">
        <v>30</v>
      </c>
      <c r="B35" s="26" t="n">
        <f aca="false">IF(A35&lt;=Assumptions!$B$42,1,IF(A35&lt;=Assumptions!$B$43,2,IF(A35&lt;=Assumptions!$B$44,3,IF(A35&lt;=Assumptions!$B$45,4,5))))</f>
        <v>4</v>
      </c>
      <c r="C35" s="40" t="n">
        <f aca="false">IF($A35=Assumptions!$B$22,Assumptions!$B$21,IF($A35&lt;Assumptions!$B$24,0,IF($A35&lt;=Assumptions!$B$26,Assumptions!$B$25,IF($A35&lt;=Assumptions!$B$28,Assumptions!$B$27,Assumptions!$B$29))*Assumptions!$B$14))</f>
        <v>8</v>
      </c>
      <c r="D35" s="40" t="n">
        <f aca="false">E34*Assumptions!$B$12</f>
        <v>3.19230930345857</v>
      </c>
      <c r="E35" s="40" t="n">
        <f aca="false">E34-D35+C35</f>
        <v>111.218000811827</v>
      </c>
      <c r="F35" s="41" t="n">
        <f aca="false">E35*Assumptions!$B$10</f>
        <v>5560.90004059135</v>
      </c>
      <c r="G35" s="41" t="n">
        <f aca="false">IF(A35=Assumptions!$B$22,Assumptions!$B$21*Assumptions!$B$23,0)</f>
        <v>0</v>
      </c>
      <c r="H35" s="41" t="n">
        <f aca="false">F35+G35</f>
        <v>5560.90004059135</v>
      </c>
      <c r="I35" s="41" t="n">
        <f aca="false">F35*(1-Assumptions!$B$11)</f>
        <v>1390.22501014784</v>
      </c>
      <c r="J35" s="41" t="n">
        <f aca="false">Assumptions!$B$18</f>
        <v>5500</v>
      </c>
      <c r="K35" s="41" t="n">
        <f aca="false">C35*Assumptions!$B$13</f>
        <v>2000</v>
      </c>
      <c r="L35" s="41" t="n">
        <f aca="false">SUMIF(Assumptions!$B$33:$B$38,A35,Assumptions!$C$33:$C$38)</f>
        <v>0</v>
      </c>
      <c r="M35" s="41" t="n">
        <f aca="false">I35+J35+K35+L35</f>
        <v>8890.22501014784</v>
      </c>
      <c r="N35" s="41" t="n">
        <f aca="false">H35-M35</f>
        <v>-3329.32496955649</v>
      </c>
      <c r="O35" s="41" t="n">
        <f aca="false">O34+N35</f>
        <v>-164051.82598434</v>
      </c>
      <c r="P35" s="26" t="n">
        <f aca="false">IF(AND(A35&gt;=Assumptions!$B$24,N35&gt;=0),1,0)</f>
        <v>0</v>
      </c>
    </row>
    <row r="36" customFormat="false" ht="15" hidden="false" customHeight="false" outlineLevel="0" collapsed="false">
      <c r="A36" s="26" t="n">
        <v>31</v>
      </c>
      <c r="B36" s="26" t="n">
        <f aca="false">IF(A36&lt;=Assumptions!$B$42,1,IF(A36&lt;=Assumptions!$B$43,2,IF(A36&lt;=Assumptions!$B$44,3,IF(A36&lt;=Assumptions!$B$45,4,5))))</f>
        <v>4</v>
      </c>
      <c r="C36" s="40" t="n">
        <f aca="false">IF($A36=Assumptions!$B$22,Assumptions!$B$21,IF($A36&lt;Assumptions!$B$24,0,IF($A36&lt;=Assumptions!$B$26,Assumptions!$B$25,IF($A36&lt;=Assumptions!$B$28,Assumptions!$B$27,Assumptions!$B$29))*Assumptions!$B$14))</f>
        <v>8</v>
      </c>
      <c r="D36" s="40" t="n">
        <f aca="false">E35*Assumptions!$B$12</f>
        <v>3.33654002435481</v>
      </c>
      <c r="E36" s="40" t="n">
        <f aca="false">E35-D36+C36</f>
        <v>115.881460787472</v>
      </c>
      <c r="F36" s="41" t="n">
        <f aca="false">E36*Assumptions!$B$10</f>
        <v>5794.07303937361</v>
      </c>
      <c r="G36" s="41" t="n">
        <f aca="false">IF(A36=Assumptions!$B$22,Assumptions!$B$21*Assumptions!$B$23,0)</f>
        <v>0</v>
      </c>
      <c r="H36" s="41" t="n">
        <f aca="false">F36+G36</f>
        <v>5794.07303937361</v>
      </c>
      <c r="I36" s="41" t="n">
        <f aca="false">F36*(1-Assumptions!$B$11)</f>
        <v>1448.5182598434</v>
      </c>
      <c r="J36" s="41" t="n">
        <f aca="false">Assumptions!$B$18</f>
        <v>5500</v>
      </c>
      <c r="K36" s="41" t="n">
        <f aca="false">C36*Assumptions!$B$13</f>
        <v>2000</v>
      </c>
      <c r="L36" s="41" t="n">
        <f aca="false">SUMIF(Assumptions!$B$33:$B$38,A36,Assumptions!$C$33:$C$38)</f>
        <v>0</v>
      </c>
      <c r="M36" s="41" t="n">
        <f aca="false">I36+J36+K36+L36</f>
        <v>8948.5182598434</v>
      </c>
      <c r="N36" s="41" t="n">
        <f aca="false">H36-M36</f>
        <v>-3154.44522046979</v>
      </c>
      <c r="O36" s="41" t="n">
        <f aca="false">O35+N36</f>
        <v>-167206.27120481</v>
      </c>
      <c r="P36" s="26" t="n">
        <f aca="false">IF(AND(A36&gt;=Assumptions!$B$24,N36&gt;=0),1,0)</f>
        <v>0</v>
      </c>
    </row>
    <row r="37" customFormat="false" ht="15" hidden="false" customHeight="false" outlineLevel="0" collapsed="false">
      <c r="A37" s="26" t="n">
        <v>32</v>
      </c>
      <c r="B37" s="26" t="n">
        <f aca="false">IF(A37&lt;=Assumptions!$B$42,1,IF(A37&lt;=Assumptions!$B$43,2,IF(A37&lt;=Assumptions!$B$44,3,IF(A37&lt;=Assumptions!$B$45,4,5))))</f>
        <v>4</v>
      </c>
      <c r="C37" s="40" t="n">
        <f aca="false">IF($A37=Assumptions!$B$22,Assumptions!$B$21,IF($A37&lt;Assumptions!$B$24,0,IF($A37&lt;=Assumptions!$B$26,Assumptions!$B$25,IF($A37&lt;=Assumptions!$B$28,Assumptions!$B$27,Assumptions!$B$29))*Assumptions!$B$14))</f>
        <v>8</v>
      </c>
      <c r="D37" s="40" t="n">
        <f aca="false">E36*Assumptions!$B$12</f>
        <v>3.47644382362417</v>
      </c>
      <c r="E37" s="40" t="n">
        <f aca="false">E36-D37+C37</f>
        <v>120.405016963848</v>
      </c>
      <c r="F37" s="41" t="n">
        <f aca="false">E37*Assumptions!$B$10</f>
        <v>6020.2508481924</v>
      </c>
      <c r="G37" s="41" t="n">
        <f aca="false">IF(A37=Assumptions!$B$22,Assumptions!$B$21*Assumptions!$B$23,0)</f>
        <v>0</v>
      </c>
      <c r="H37" s="41" t="n">
        <f aca="false">F37+G37</f>
        <v>6020.2508481924</v>
      </c>
      <c r="I37" s="41" t="n">
        <f aca="false">F37*(1-Assumptions!$B$11)</f>
        <v>1505.0627120481</v>
      </c>
      <c r="J37" s="41" t="n">
        <f aca="false">Assumptions!$B$18</f>
        <v>5500</v>
      </c>
      <c r="K37" s="41" t="n">
        <f aca="false">C37*Assumptions!$B$13</f>
        <v>2000</v>
      </c>
      <c r="L37" s="41" t="n">
        <f aca="false">SUMIF(Assumptions!$B$33:$B$38,A37,Assumptions!$C$33:$C$38)</f>
        <v>0</v>
      </c>
      <c r="M37" s="41" t="n">
        <f aca="false">I37+J37+K37+L37</f>
        <v>9005.0627120481</v>
      </c>
      <c r="N37" s="41" t="n">
        <f aca="false">H37-M37</f>
        <v>-2984.8118638557</v>
      </c>
      <c r="O37" s="41" t="n">
        <f aca="false">O36+N37</f>
        <v>-170191.083068666</v>
      </c>
      <c r="P37" s="26" t="n">
        <f aca="false">IF(AND(A37&gt;=Assumptions!$B$24,N37&gt;=0),1,0)</f>
        <v>0</v>
      </c>
    </row>
    <row r="38" customFormat="false" ht="15" hidden="false" customHeight="false" outlineLevel="0" collapsed="false">
      <c r="A38" s="26" t="n">
        <v>33</v>
      </c>
      <c r="B38" s="26" t="n">
        <f aca="false">IF(A38&lt;=Assumptions!$B$42,1,IF(A38&lt;=Assumptions!$B$43,2,IF(A38&lt;=Assumptions!$B$44,3,IF(A38&lt;=Assumptions!$B$45,4,5))))</f>
        <v>4</v>
      </c>
      <c r="C38" s="40" t="n">
        <f aca="false">IF($A38=Assumptions!$B$22,Assumptions!$B$21,IF($A38&lt;Assumptions!$B$24,0,IF($A38&lt;=Assumptions!$B$26,Assumptions!$B$25,IF($A38&lt;=Assumptions!$B$28,Assumptions!$B$27,Assumptions!$B$29))*Assumptions!$B$14))</f>
        <v>8</v>
      </c>
      <c r="D38" s="40" t="n">
        <f aca="false">E37*Assumptions!$B$12</f>
        <v>3.61215050891544</v>
      </c>
      <c r="E38" s="40" t="n">
        <f aca="false">E37-D38+C38</f>
        <v>124.792866454933</v>
      </c>
      <c r="F38" s="41" t="n">
        <f aca="false">E38*Assumptions!$B$10</f>
        <v>6239.64332274663</v>
      </c>
      <c r="G38" s="41" t="n">
        <f aca="false">IF(A38=Assumptions!$B$22,Assumptions!$B$21*Assumptions!$B$23,0)</f>
        <v>0</v>
      </c>
      <c r="H38" s="41" t="n">
        <f aca="false">F38+G38</f>
        <v>6239.64332274663</v>
      </c>
      <c r="I38" s="41" t="n">
        <f aca="false">F38*(1-Assumptions!$B$11)</f>
        <v>1559.91083068666</v>
      </c>
      <c r="J38" s="41" t="n">
        <f aca="false">Assumptions!$B$18</f>
        <v>5500</v>
      </c>
      <c r="K38" s="41" t="n">
        <f aca="false">C38*Assumptions!$B$13</f>
        <v>2000</v>
      </c>
      <c r="L38" s="41" t="n">
        <f aca="false">SUMIF(Assumptions!$B$33:$B$38,A38,Assumptions!$C$33:$C$38)</f>
        <v>0</v>
      </c>
      <c r="M38" s="41" t="n">
        <f aca="false">I38+J38+K38+L38</f>
        <v>9059.91083068666</v>
      </c>
      <c r="N38" s="41" t="n">
        <f aca="false">H38-M38</f>
        <v>-2820.26750794003</v>
      </c>
      <c r="O38" s="41" t="n">
        <f aca="false">O37+N38</f>
        <v>-173011.350576606</v>
      </c>
      <c r="P38" s="26" t="n">
        <f aca="false">IF(AND(A38&gt;=Assumptions!$B$24,N38&gt;=0),1,0)</f>
        <v>0</v>
      </c>
    </row>
    <row r="39" customFormat="false" ht="15" hidden="false" customHeight="false" outlineLevel="0" collapsed="false">
      <c r="A39" s="26" t="n">
        <v>34</v>
      </c>
      <c r="B39" s="26" t="n">
        <f aca="false">IF(A39&lt;=Assumptions!$B$42,1,IF(A39&lt;=Assumptions!$B$43,2,IF(A39&lt;=Assumptions!$B$44,3,IF(A39&lt;=Assumptions!$B$45,4,5))))</f>
        <v>4</v>
      </c>
      <c r="C39" s="40" t="n">
        <f aca="false">IF($A39=Assumptions!$B$22,Assumptions!$B$21,IF($A39&lt;Assumptions!$B$24,0,IF($A39&lt;=Assumptions!$B$26,Assumptions!$B$25,IF($A39&lt;=Assumptions!$B$28,Assumptions!$B$27,Assumptions!$B$29))*Assumptions!$B$14))</f>
        <v>8</v>
      </c>
      <c r="D39" s="40" t="n">
        <f aca="false">E38*Assumptions!$B$12</f>
        <v>3.74378599364798</v>
      </c>
      <c r="E39" s="40" t="n">
        <f aca="false">E38-D39+C39</f>
        <v>129.049080461285</v>
      </c>
      <c r="F39" s="41" t="n">
        <f aca="false">E39*Assumptions!$B$10</f>
        <v>6452.45402306423</v>
      </c>
      <c r="G39" s="41" t="n">
        <f aca="false">IF(A39=Assumptions!$B$22,Assumptions!$B$21*Assumptions!$B$23,0)</f>
        <v>0</v>
      </c>
      <c r="H39" s="41" t="n">
        <f aca="false">F39+G39</f>
        <v>6452.45402306423</v>
      </c>
      <c r="I39" s="41" t="n">
        <f aca="false">F39*(1-Assumptions!$B$11)</f>
        <v>1613.11350576606</v>
      </c>
      <c r="J39" s="41" t="n">
        <f aca="false">Assumptions!$B$18</f>
        <v>5500</v>
      </c>
      <c r="K39" s="41" t="n">
        <f aca="false">C39*Assumptions!$B$13</f>
        <v>2000</v>
      </c>
      <c r="L39" s="41" t="n">
        <f aca="false">SUMIF(Assumptions!$B$33:$B$38,A39,Assumptions!$C$33:$C$38)</f>
        <v>0</v>
      </c>
      <c r="M39" s="41" t="n">
        <f aca="false">I39+J39+K39+L39</f>
        <v>9113.11350576606</v>
      </c>
      <c r="N39" s="41" t="n">
        <f aca="false">H39-M39</f>
        <v>-2660.65948270183</v>
      </c>
      <c r="O39" s="41" t="n">
        <f aca="false">O38+N39</f>
        <v>-175672.010059308</v>
      </c>
      <c r="P39" s="26" t="n">
        <f aca="false">IF(AND(A39&gt;=Assumptions!$B$24,N39&gt;=0),1,0)</f>
        <v>0</v>
      </c>
    </row>
    <row r="40" customFormat="false" ht="15" hidden="false" customHeight="false" outlineLevel="0" collapsed="false">
      <c r="A40" s="26" t="n">
        <v>35</v>
      </c>
      <c r="B40" s="26" t="n">
        <f aca="false">IF(A40&lt;=Assumptions!$B$42,1,IF(A40&lt;=Assumptions!$B$43,2,IF(A40&lt;=Assumptions!$B$44,3,IF(A40&lt;=Assumptions!$B$45,4,5))))</f>
        <v>4</v>
      </c>
      <c r="C40" s="40" t="n">
        <f aca="false">IF($A40=Assumptions!$B$22,Assumptions!$B$21,IF($A40&lt;Assumptions!$B$24,0,IF($A40&lt;=Assumptions!$B$26,Assumptions!$B$25,IF($A40&lt;=Assumptions!$B$28,Assumptions!$B$27,Assumptions!$B$29))*Assumptions!$B$14))</f>
        <v>8</v>
      </c>
      <c r="D40" s="40" t="n">
        <f aca="false">E39*Assumptions!$B$12</f>
        <v>3.87147241383854</v>
      </c>
      <c r="E40" s="40" t="n">
        <f aca="false">E39-D40+C40</f>
        <v>133.177608047446</v>
      </c>
      <c r="F40" s="41" t="n">
        <f aca="false">E40*Assumptions!$B$10</f>
        <v>6658.8804023723</v>
      </c>
      <c r="G40" s="41" t="n">
        <f aca="false">IF(A40=Assumptions!$B$22,Assumptions!$B$21*Assumptions!$B$23,0)</f>
        <v>0</v>
      </c>
      <c r="H40" s="41" t="n">
        <f aca="false">F40+G40</f>
        <v>6658.8804023723</v>
      </c>
      <c r="I40" s="41" t="n">
        <f aca="false">F40*(1-Assumptions!$B$11)</f>
        <v>1664.72010059308</v>
      </c>
      <c r="J40" s="41" t="n">
        <f aca="false">Assumptions!$B$18</f>
        <v>5500</v>
      </c>
      <c r="K40" s="41" t="n">
        <f aca="false">C40*Assumptions!$B$13</f>
        <v>2000</v>
      </c>
      <c r="L40" s="41" t="n">
        <f aca="false">SUMIF(Assumptions!$B$33:$B$38,A40,Assumptions!$C$33:$C$38)</f>
        <v>0</v>
      </c>
      <c r="M40" s="41" t="n">
        <f aca="false">I40+J40+K40+L40</f>
        <v>9164.72010059308</v>
      </c>
      <c r="N40" s="41" t="n">
        <f aca="false">H40-M40</f>
        <v>-2505.83969822077</v>
      </c>
      <c r="O40" s="41" t="n">
        <f aca="false">O39+N40</f>
        <v>-178177.849757528</v>
      </c>
      <c r="P40" s="26" t="n">
        <f aca="false">IF(AND(A40&gt;=Assumptions!$B$24,N40&gt;=0),1,0)</f>
        <v>0</v>
      </c>
    </row>
    <row r="41" customFormat="false" ht="15" hidden="false" customHeight="false" outlineLevel="0" collapsed="false">
      <c r="A41" s="26" t="n">
        <v>36</v>
      </c>
      <c r="B41" s="26" t="n">
        <f aca="false">IF(A41&lt;=Assumptions!$B$42,1,IF(A41&lt;=Assumptions!$B$43,2,IF(A41&lt;=Assumptions!$B$44,3,IF(A41&lt;=Assumptions!$B$45,4,5))))</f>
        <v>4</v>
      </c>
      <c r="C41" s="40" t="n">
        <f aca="false">IF($A41=Assumptions!$B$22,Assumptions!$B$21,IF($A41&lt;Assumptions!$B$24,0,IF($A41&lt;=Assumptions!$B$26,Assumptions!$B$25,IF($A41&lt;=Assumptions!$B$28,Assumptions!$B$27,Assumptions!$B$29))*Assumptions!$B$14))</f>
        <v>8</v>
      </c>
      <c r="D41" s="40" t="n">
        <f aca="false">E40*Assumptions!$B$12</f>
        <v>3.99532824142338</v>
      </c>
      <c r="E41" s="40" t="n">
        <f aca="false">E40-D41+C41</f>
        <v>137.182279806023</v>
      </c>
      <c r="F41" s="41" t="n">
        <f aca="false">E41*Assumptions!$B$10</f>
        <v>6859.11399030114</v>
      </c>
      <c r="G41" s="41" t="n">
        <f aca="false">IF(A41=Assumptions!$B$22,Assumptions!$B$21*Assumptions!$B$23,0)</f>
        <v>0</v>
      </c>
      <c r="H41" s="41" t="n">
        <f aca="false">F41+G41</f>
        <v>6859.11399030114</v>
      </c>
      <c r="I41" s="41" t="n">
        <f aca="false">F41*(1-Assumptions!$B$11)</f>
        <v>1714.77849757528</v>
      </c>
      <c r="J41" s="41" t="n">
        <f aca="false">Assumptions!$B$18</f>
        <v>5500</v>
      </c>
      <c r="K41" s="41" t="n">
        <f aca="false">C41*Assumptions!$B$13</f>
        <v>2000</v>
      </c>
      <c r="L41" s="41" t="n">
        <f aca="false">SUMIF(Assumptions!$B$33:$B$38,A41,Assumptions!$C$33:$C$38)</f>
        <v>0</v>
      </c>
      <c r="M41" s="41" t="n">
        <f aca="false">I41+J41+K41+L41</f>
        <v>9214.77849757528</v>
      </c>
      <c r="N41" s="41" t="n">
        <f aca="false">H41-M41</f>
        <v>-2355.66450727415</v>
      </c>
      <c r="O41" s="41" t="n">
        <f aca="false">O40+N41</f>
        <v>-180533.514264802</v>
      </c>
      <c r="P41" s="26" t="n">
        <f aca="false">IF(AND(A41&gt;=Assumptions!$B$24,N41&gt;=0),1,0)</f>
        <v>0</v>
      </c>
    </row>
    <row r="42" customFormat="false" ht="15" hidden="false" customHeight="false" outlineLevel="0" collapsed="false">
      <c r="A42" s="26" t="n">
        <v>37</v>
      </c>
      <c r="B42" s="26" t="n">
        <f aca="false">IF(A42&lt;=Assumptions!$B$42,1,IF(A42&lt;=Assumptions!$B$43,2,IF(A42&lt;=Assumptions!$B$44,3,IF(A42&lt;=Assumptions!$B$45,4,5))))</f>
        <v>5</v>
      </c>
      <c r="C42" s="40" t="n">
        <f aca="false">IF($A42=Assumptions!$B$22,Assumptions!$B$21,IF($A42&lt;Assumptions!$B$24,0,IF($A42&lt;=Assumptions!$B$26,Assumptions!$B$25,IF($A42&lt;=Assumptions!$B$28,Assumptions!$B$27,Assumptions!$B$29))*Assumptions!$B$14))</f>
        <v>8</v>
      </c>
      <c r="D42" s="40" t="n">
        <f aca="false">E41*Assumptions!$B$12</f>
        <v>4.11546839418068</v>
      </c>
      <c r="E42" s="40" t="n">
        <f aca="false">E41-D42+C42</f>
        <v>141.066811411842</v>
      </c>
      <c r="F42" s="41" t="n">
        <f aca="false">E42*Assumptions!$B$10</f>
        <v>7053.3405705921</v>
      </c>
      <c r="G42" s="41" t="n">
        <f aca="false">IF(A42=Assumptions!$B$22,Assumptions!$B$21*Assumptions!$B$23,0)</f>
        <v>0</v>
      </c>
      <c r="H42" s="41" t="n">
        <f aca="false">F42+G42</f>
        <v>7053.3405705921</v>
      </c>
      <c r="I42" s="41" t="n">
        <f aca="false">F42*(1-Assumptions!$B$11)</f>
        <v>1763.33514264803</v>
      </c>
      <c r="J42" s="41" t="n">
        <f aca="false">Assumptions!$B$18</f>
        <v>5500</v>
      </c>
      <c r="K42" s="41" t="n">
        <f aca="false">C42*Assumptions!$B$13</f>
        <v>2000</v>
      </c>
      <c r="L42" s="41" t="n">
        <f aca="false">SUMIF(Assumptions!$B$33:$B$38,A42,Assumptions!$C$33:$C$38)</f>
        <v>0</v>
      </c>
      <c r="M42" s="41" t="n">
        <f aca="false">I42+J42+K42+L42</f>
        <v>9263.33514264803</v>
      </c>
      <c r="N42" s="41" t="n">
        <f aca="false">H42-M42</f>
        <v>-2209.99457205592</v>
      </c>
      <c r="O42" s="41" t="n">
        <f aca="false">O41+N42</f>
        <v>-182743.508836858</v>
      </c>
      <c r="P42" s="26" t="n">
        <f aca="false">IF(AND(A42&gt;=Assumptions!$B$24,N42&gt;=0),1,0)</f>
        <v>0</v>
      </c>
    </row>
    <row r="43" customFormat="false" ht="15" hidden="false" customHeight="false" outlineLevel="0" collapsed="false">
      <c r="A43" s="26" t="n">
        <v>38</v>
      </c>
      <c r="B43" s="26" t="n">
        <f aca="false">IF(A43&lt;=Assumptions!$B$42,1,IF(A43&lt;=Assumptions!$B$43,2,IF(A43&lt;=Assumptions!$B$44,3,IF(A43&lt;=Assumptions!$B$45,4,5))))</f>
        <v>5</v>
      </c>
      <c r="C43" s="40" t="n">
        <f aca="false">IF($A43=Assumptions!$B$22,Assumptions!$B$21,IF($A43&lt;Assumptions!$B$24,0,IF($A43&lt;=Assumptions!$B$26,Assumptions!$B$25,IF($A43&lt;=Assumptions!$B$28,Assumptions!$B$27,Assumptions!$B$29))*Assumptions!$B$14))</f>
        <v>8</v>
      </c>
      <c r="D43" s="40" t="n">
        <f aca="false">E42*Assumptions!$B$12</f>
        <v>4.23200434235526</v>
      </c>
      <c r="E43" s="40" t="n">
        <f aca="false">E42-D43+C43</f>
        <v>144.834807069487</v>
      </c>
      <c r="F43" s="41" t="n">
        <f aca="false">E43*Assumptions!$B$10</f>
        <v>7241.74035347434</v>
      </c>
      <c r="G43" s="41" t="n">
        <f aca="false">IF(A43=Assumptions!$B$22,Assumptions!$B$21*Assumptions!$B$23,0)</f>
        <v>0</v>
      </c>
      <c r="H43" s="41" t="n">
        <f aca="false">F43+G43</f>
        <v>7241.74035347434</v>
      </c>
      <c r="I43" s="41" t="n">
        <f aca="false">F43*(1-Assumptions!$B$11)</f>
        <v>1810.43508836858</v>
      </c>
      <c r="J43" s="41" t="n">
        <f aca="false">Assumptions!$B$18</f>
        <v>5500</v>
      </c>
      <c r="K43" s="41" t="n">
        <f aca="false">C43*Assumptions!$B$13</f>
        <v>2000</v>
      </c>
      <c r="L43" s="41" t="n">
        <f aca="false">SUMIF(Assumptions!$B$33:$B$38,A43,Assumptions!$C$33:$C$38)</f>
        <v>0</v>
      </c>
      <c r="M43" s="41" t="n">
        <f aca="false">I43+J43+K43+L43</f>
        <v>9310.43508836858</v>
      </c>
      <c r="N43" s="41" t="n">
        <f aca="false">H43-M43</f>
        <v>-2068.69473489425</v>
      </c>
      <c r="O43" s="41" t="n">
        <f aca="false">O42+N43</f>
        <v>-184812.203571753</v>
      </c>
      <c r="P43" s="26" t="n">
        <f aca="false">IF(AND(A43&gt;=Assumptions!$B$24,N43&gt;=0),1,0)</f>
        <v>0</v>
      </c>
    </row>
    <row r="44" customFormat="false" ht="15" hidden="false" customHeight="false" outlineLevel="0" collapsed="false">
      <c r="A44" s="26" t="n">
        <v>39</v>
      </c>
      <c r="B44" s="26" t="n">
        <f aca="false">IF(A44&lt;=Assumptions!$B$42,1,IF(A44&lt;=Assumptions!$B$43,2,IF(A44&lt;=Assumptions!$B$44,3,IF(A44&lt;=Assumptions!$B$45,4,5))))</f>
        <v>5</v>
      </c>
      <c r="C44" s="40" t="n">
        <f aca="false">IF($A44=Assumptions!$B$22,Assumptions!$B$21,IF($A44&lt;Assumptions!$B$24,0,IF($A44&lt;=Assumptions!$B$26,Assumptions!$B$25,IF($A44&lt;=Assumptions!$B$28,Assumptions!$B$27,Assumptions!$B$29))*Assumptions!$B$14))</f>
        <v>8</v>
      </c>
      <c r="D44" s="40" t="n">
        <f aca="false">E43*Assumptions!$B$12</f>
        <v>4.3450442120846</v>
      </c>
      <c r="E44" s="40" t="n">
        <f aca="false">E43-D44+C44</f>
        <v>148.489762857402</v>
      </c>
      <c r="F44" s="41" t="n">
        <f aca="false">E44*Assumptions!$B$10</f>
        <v>7424.48814287011</v>
      </c>
      <c r="G44" s="41" t="n">
        <f aca="false">IF(A44=Assumptions!$B$22,Assumptions!$B$21*Assumptions!$B$23,0)</f>
        <v>0</v>
      </c>
      <c r="H44" s="41" t="n">
        <f aca="false">F44+G44</f>
        <v>7424.48814287011</v>
      </c>
      <c r="I44" s="41" t="n">
        <f aca="false">F44*(1-Assumptions!$B$11)</f>
        <v>1856.12203571753</v>
      </c>
      <c r="J44" s="41" t="n">
        <f aca="false">Assumptions!$B$18</f>
        <v>5500</v>
      </c>
      <c r="K44" s="41" t="n">
        <f aca="false">C44*Assumptions!$B$13</f>
        <v>2000</v>
      </c>
      <c r="L44" s="41" t="n">
        <f aca="false">SUMIF(Assumptions!$B$33:$B$38,A44,Assumptions!$C$33:$C$38)</f>
        <v>0</v>
      </c>
      <c r="M44" s="41" t="n">
        <f aca="false">I44+J44+K44+L44</f>
        <v>9356.12203571753</v>
      </c>
      <c r="N44" s="41" t="n">
        <f aca="false">H44-M44</f>
        <v>-1931.63389284742</v>
      </c>
      <c r="O44" s="41" t="n">
        <f aca="false">O43+N44</f>
        <v>-186743.8374646</v>
      </c>
      <c r="P44" s="26" t="n">
        <f aca="false">IF(AND(A44&gt;=Assumptions!$B$24,N44&gt;=0),1,0)</f>
        <v>0</v>
      </c>
    </row>
    <row r="45" customFormat="false" ht="15" hidden="false" customHeight="false" outlineLevel="0" collapsed="false">
      <c r="A45" s="26" t="n">
        <v>40</v>
      </c>
      <c r="B45" s="26" t="n">
        <f aca="false">IF(A45&lt;=Assumptions!$B$42,1,IF(A45&lt;=Assumptions!$B$43,2,IF(A45&lt;=Assumptions!$B$44,3,IF(A45&lt;=Assumptions!$B$45,4,5))))</f>
        <v>5</v>
      </c>
      <c r="C45" s="40" t="n">
        <f aca="false">IF($A45=Assumptions!$B$22,Assumptions!$B$21,IF($A45&lt;Assumptions!$B$24,0,IF($A45&lt;=Assumptions!$B$26,Assumptions!$B$25,IF($A45&lt;=Assumptions!$B$28,Assumptions!$B$27,Assumptions!$B$29))*Assumptions!$B$14))</f>
        <v>8</v>
      </c>
      <c r="D45" s="40" t="n">
        <f aca="false">E44*Assumptions!$B$12</f>
        <v>4.45469288572206</v>
      </c>
      <c r="E45" s="40" t="n">
        <f aca="false">E44-D45+C45</f>
        <v>152.03506997168</v>
      </c>
      <c r="F45" s="41" t="n">
        <f aca="false">E45*Assumptions!$B$10</f>
        <v>7601.75349858401</v>
      </c>
      <c r="G45" s="41" t="n">
        <f aca="false">IF(A45=Assumptions!$B$22,Assumptions!$B$21*Assumptions!$B$23,0)</f>
        <v>0</v>
      </c>
      <c r="H45" s="41" t="n">
        <f aca="false">F45+G45</f>
        <v>7601.75349858401</v>
      </c>
      <c r="I45" s="41" t="n">
        <f aca="false">F45*(1-Assumptions!$B$11)</f>
        <v>1900.438374646</v>
      </c>
      <c r="J45" s="41" t="n">
        <f aca="false">Assumptions!$B$18</f>
        <v>5500</v>
      </c>
      <c r="K45" s="41" t="n">
        <f aca="false">C45*Assumptions!$B$13</f>
        <v>2000</v>
      </c>
      <c r="L45" s="41" t="n">
        <f aca="false">SUMIF(Assumptions!$B$33:$B$38,A45,Assumptions!$C$33:$C$38)</f>
        <v>0</v>
      </c>
      <c r="M45" s="41" t="n">
        <f aca="false">I45+J45+K45+L45</f>
        <v>9400.438374646</v>
      </c>
      <c r="N45" s="41" t="n">
        <f aca="false">H45-M45</f>
        <v>-1798.684876062</v>
      </c>
      <c r="O45" s="41" t="n">
        <f aca="false">O44+N45</f>
        <v>-188542.522340662</v>
      </c>
      <c r="P45" s="26" t="n">
        <f aca="false">IF(AND(A45&gt;=Assumptions!$B$24,N45&gt;=0),1,0)</f>
        <v>0</v>
      </c>
    </row>
    <row r="46" customFormat="false" ht="15" hidden="false" customHeight="false" outlineLevel="0" collapsed="false">
      <c r="A46" s="26" t="n">
        <v>41</v>
      </c>
      <c r="B46" s="26" t="n">
        <f aca="false">IF(A46&lt;=Assumptions!$B$42,1,IF(A46&lt;=Assumptions!$B$43,2,IF(A46&lt;=Assumptions!$B$44,3,IF(A46&lt;=Assumptions!$B$45,4,5))))</f>
        <v>5</v>
      </c>
      <c r="C46" s="40" t="n">
        <f aca="false">IF($A46=Assumptions!$B$22,Assumptions!$B$21,IF($A46&lt;Assumptions!$B$24,0,IF($A46&lt;=Assumptions!$B$26,Assumptions!$B$25,IF($A46&lt;=Assumptions!$B$28,Assumptions!$B$27,Assumptions!$B$29))*Assumptions!$B$14))</f>
        <v>8</v>
      </c>
      <c r="D46" s="40" t="n">
        <f aca="false">E45*Assumptions!$B$12</f>
        <v>4.5610520991504</v>
      </c>
      <c r="E46" s="40" t="n">
        <f aca="false">E45-D46+C46</f>
        <v>155.47401787253</v>
      </c>
      <c r="F46" s="41" t="n">
        <f aca="false">E46*Assumptions!$B$10</f>
        <v>7773.70089362649</v>
      </c>
      <c r="G46" s="41" t="n">
        <f aca="false">IF(A46=Assumptions!$B$22,Assumptions!$B$21*Assumptions!$B$23,0)</f>
        <v>0</v>
      </c>
      <c r="H46" s="41" t="n">
        <f aca="false">F46+G46</f>
        <v>7773.70089362649</v>
      </c>
      <c r="I46" s="41" t="n">
        <f aca="false">F46*(1-Assumptions!$B$11)</f>
        <v>1943.42522340662</v>
      </c>
      <c r="J46" s="41" t="n">
        <f aca="false">Assumptions!$B$18</f>
        <v>5500</v>
      </c>
      <c r="K46" s="41" t="n">
        <f aca="false">C46*Assumptions!$B$13</f>
        <v>2000</v>
      </c>
      <c r="L46" s="41" t="n">
        <f aca="false">SUMIF(Assumptions!$B$33:$B$38,A46,Assumptions!$C$33:$C$38)</f>
        <v>0</v>
      </c>
      <c r="M46" s="41" t="n">
        <f aca="false">I46+J46+K46+L46</f>
        <v>9443.42522340662</v>
      </c>
      <c r="N46" s="41" t="n">
        <f aca="false">H46-M46</f>
        <v>-1669.72432978014</v>
      </c>
      <c r="O46" s="41" t="n">
        <f aca="false">O45+N46</f>
        <v>-190212.246670442</v>
      </c>
      <c r="P46" s="26" t="n">
        <f aca="false">IF(AND(A46&gt;=Assumptions!$B$24,N46&gt;=0),1,0)</f>
        <v>0</v>
      </c>
    </row>
    <row r="47" customFormat="false" ht="15" hidden="false" customHeight="false" outlineLevel="0" collapsed="false">
      <c r="A47" s="26" t="n">
        <v>42</v>
      </c>
      <c r="B47" s="26" t="n">
        <f aca="false">IF(A47&lt;=Assumptions!$B$42,1,IF(A47&lt;=Assumptions!$B$43,2,IF(A47&lt;=Assumptions!$B$44,3,IF(A47&lt;=Assumptions!$B$45,4,5))))</f>
        <v>5</v>
      </c>
      <c r="C47" s="40" t="n">
        <f aca="false">IF($A47=Assumptions!$B$22,Assumptions!$B$21,IF($A47&lt;Assumptions!$B$24,0,IF($A47&lt;=Assumptions!$B$26,Assumptions!$B$25,IF($A47&lt;=Assumptions!$B$28,Assumptions!$B$27,Assumptions!$B$29))*Assumptions!$B$14))</f>
        <v>8</v>
      </c>
      <c r="D47" s="40" t="n">
        <f aca="false">E46*Assumptions!$B$12</f>
        <v>4.66422053617589</v>
      </c>
      <c r="E47" s="40" t="n">
        <f aca="false">E46-D47+C47</f>
        <v>158.809797336354</v>
      </c>
      <c r="F47" s="41" t="n">
        <f aca="false">E47*Assumptions!$B$10</f>
        <v>7940.48986681769</v>
      </c>
      <c r="G47" s="41" t="n">
        <f aca="false">IF(A47=Assumptions!$B$22,Assumptions!$B$21*Assumptions!$B$23,0)</f>
        <v>0</v>
      </c>
      <c r="H47" s="41" t="n">
        <f aca="false">F47+G47</f>
        <v>7940.48986681769</v>
      </c>
      <c r="I47" s="41" t="n">
        <f aca="false">F47*(1-Assumptions!$B$11)</f>
        <v>1985.12246670442</v>
      </c>
      <c r="J47" s="41" t="n">
        <f aca="false">Assumptions!$B$18</f>
        <v>5500</v>
      </c>
      <c r="K47" s="41" t="n">
        <f aca="false">C47*Assumptions!$B$13</f>
        <v>2000</v>
      </c>
      <c r="L47" s="41" t="n">
        <f aca="false">SUMIF(Assumptions!$B$33:$B$38,A47,Assumptions!$C$33:$C$38)</f>
        <v>0</v>
      </c>
      <c r="M47" s="41" t="n">
        <f aca="false">I47+J47+K47+L47</f>
        <v>9485.12246670442</v>
      </c>
      <c r="N47" s="41" t="n">
        <f aca="false">H47-M47</f>
        <v>-1544.63259988673</v>
      </c>
      <c r="O47" s="41" t="n">
        <f aca="false">O46+N47</f>
        <v>-191756.879270329</v>
      </c>
      <c r="P47" s="26" t="n">
        <f aca="false">IF(AND(A47&gt;=Assumptions!$B$24,N47&gt;=0),1,0)</f>
        <v>0</v>
      </c>
    </row>
    <row r="48" customFormat="false" ht="15" hidden="false" customHeight="false" outlineLevel="0" collapsed="false">
      <c r="A48" s="26" t="n">
        <v>43</v>
      </c>
      <c r="B48" s="26" t="n">
        <f aca="false">IF(A48&lt;=Assumptions!$B$42,1,IF(A48&lt;=Assumptions!$B$43,2,IF(A48&lt;=Assumptions!$B$44,3,IF(A48&lt;=Assumptions!$B$45,4,5))))</f>
        <v>5</v>
      </c>
      <c r="C48" s="40" t="n">
        <f aca="false">IF($A48=Assumptions!$B$22,Assumptions!$B$21,IF($A48&lt;Assumptions!$B$24,0,IF($A48&lt;=Assumptions!$B$26,Assumptions!$B$25,IF($A48&lt;=Assumptions!$B$28,Assumptions!$B$27,Assumptions!$B$29))*Assumptions!$B$14))</f>
        <v>8</v>
      </c>
      <c r="D48" s="40" t="n">
        <f aca="false">E47*Assumptions!$B$12</f>
        <v>4.76429392009061</v>
      </c>
      <c r="E48" s="40" t="n">
        <f aca="false">E47-D48+C48</f>
        <v>162.045503416263</v>
      </c>
      <c r="F48" s="41" t="n">
        <f aca="false">E48*Assumptions!$B$10</f>
        <v>8102.27517081316</v>
      </c>
      <c r="G48" s="41" t="n">
        <f aca="false">IF(A48=Assumptions!$B$22,Assumptions!$B$21*Assumptions!$B$23,0)</f>
        <v>0</v>
      </c>
      <c r="H48" s="41" t="n">
        <f aca="false">F48+G48</f>
        <v>8102.27517081316</v>
      </c>
      <c r="I48" s="41" t="n">
        <f aca="false">F48*(1-Assumptions!$B$11)</f>
        <v>2025.56879270329</v>
      </c>
      <c r="J48" s="41" t="n">
        <f aca="false">Assumptions!$B$18</f>
        <v>5500</v>
      </c>
      <c r="K48" s="41" t="n">
        <f aca="false">C48*Assumptions!$B$13</f>
        <v>2000</v>
      </c>
      <c r="L48" s="41" t="n">
        <f aca="false">SUMIF(Assumptions!$B$33:$B$38,A48,Assumptions!$C$33:$C$38)</f>
        <v>0</v>
      </c>
      <c r="M48" s="41" t="n">
        <f aca="false">I48+J48+K48+L48</f>
        <v>9525.56879270329</v>
      </c>
      <c r="N48" s="41" t="n">
        <f aca="false">H48-M48</f>
        <v>-1423.29362189013</v>
      </c>
      <c r="O48" s="41" t="n">
        <f aca="false">O47+N48</f>
        <v>-193180.172892219</v>
      </c>
      <c r="P48" s="26" t="n">
        <f aca="false">IF(AND(A48&gt;=Assumptions!$B$24,N48&gt;=0),1,0)</f>
        <v>0</v>
      </c>
    </row>
    <row r="49" customFormat="false" ht="15" hidden="false" customHeight="false" outlineLevel="0" collapsed="false">
      <c r="A49" s="26" t="n">
        <v>44</v>
      </c>
      <c r="B49" s="26" t="n">
        <f aca="false">IF(A49&lt;=Assumptions!$B$42,1,IF(A49&lt;=Assumptions!$B$43,2,IF(A49&lt;=Assumptions!$B$44,3,IF(A49&lt;=Assumptions!$B$45,4,5))))</f>
        <v>5</v>
      </c>
      <c r="C49" s="40" t="n">
        <f aca="false">IF($A49=Assumptions!$B$22,Assumptions!$B$21,IF($A49&lt;Assumptions!$B$24,0,IF($A49&lt;=Assumptions!$B$26,Assumptions!$B$25,IF($A49&lt;=Assumptions!$B$28,Assumptions!$B$27,Assumptions!$B$29))*Assumptions!$B$14))</f>
        <v>8</v>
      </c>
      <c r="D49" s="40" t="n">
        <f aca="false">E48*Assumptions!$B$12</f>
        <v>4.8613651024879</v>
      </c>
      <c r="E49" s="40" t="n">
        <f aca="false">E48-D49+C49</f>
        <v>165.184138313775</v>
      </c>
      <c r="F49" s="41" t="n">
        <f aca="false">E49*Assumptions!$B$10</f>
        <v>8259.20691568877</v>
      </c>
      <c r="G49" s="41" t="n">
        <f aca="false">IF(A49=Assumptions!$B$22,Assumptions!$B$21*Assumptions!$B$23,0)</f>
        <v>0</v>
      </c>
      <c r="H49" s="41" t="n">
        <f aca="false">F49+G49</f>
        <v>8259.20691568877</v>
      </c>
      <c r="I49" s="41" t="n">
        <f aca="false">F49*(1-Assumptions!$B$11)</f>
        <v>2064.80172892219</v>
      </c>
      <c r="J49" s="41" t="n">
        <f aca="false">Assumptions!$B$18</f>
        <v>5500</v>
      </c>
      <c r="K49" s="41" t="n">
        <f aca="false">C49*Assumptions!$B$13</f>
        <v>2000</v>
      </c>
      <c r="L49" s="41" t="n">
        <f aca="false">SUMIF(Assumptions!$B$33:$B$38,A49,Assumptions!$C$33:$C$38)</f>
        <v>0</v>
      </c>
      <c r="M49" s="41" t="n">
        <f aca="false">I49+J49+K49+L49</f>
        <v>9564.80172892219</v>
      </c>
      <c r="N49" s="41" t="n">
        <f aca="false">H49-M49</f>
        <v>-1305.59481323343</v>
      </c>
      <c r="O49" s="41" t="n">
        <f aca="false">O48+N49</f>
        <v>-194485.767705452</v>
      </c>
      <c r="P49" s="26" t="n">
        <f aca="false">IF(AND(A49&gt;=Assumptions!$B$24,N49&gt;=0),1,0)</f>
        <v>0</v>
      </c>
    </row>
    <row r="50" customFormat="false" ht="15" hidden="false" customHeight="false" outlineLevel="0" collapsed="false">
      <c r="A50" s="26" t="n">
        <v>45</v>
      </c>
      <c r="B50" s="26" t="n">
        <f aca="false">IF(A50&lt;=Assumptions!$B$42,1,IF(A50&lt;=Assumptions!$B$43,2,IF(A50&lt;=Assumptions!$B$44,3,IF(A50&lt;=Assumptions!$B$45,4,5))))</f>
        <v>5</v>
      </c>
      <c r="C50" s="40" t="n">
        <f aca="false">IF($A50=Assumptions!$B$22,Assumptions!$B$21,IF($A50&lt;Assumptions!$B$24,0,IF($A50&lt;=Assumptions!$B$26,Assumptions!$B$25,IF($A50&lt;=Assumptions!$B$28,Assumptions!$B$27,Assumptions!$B$29))*Assumptions!$B$14))</f>
        <v>8</v>
      </c>
      <c r="D50" s="40" t="n">
        <f aca="false">E49*Assumptions!$B$12</f>
        <v>4.95552414941326</v>
      </c>
      <c r="E50" s="40" t="n">
        <f aca="false">E49-D50+C50</f>
        <v>168.228614164362</v>
      </c>
      <c r="F50" s="41" t="n">
        <f aca="false">E50*Assumptions!$B$10</f>
        <v>8411.4307082181</v>
      </c>
      <c r="G50" s="41" t="n">
        <f aca="false">IF(A50=Assumptions!$B$22,Assumptions!$B$21*Assumptions!$B$23,0)</f>
        <v>0</v>
      </c>
      <c r="H50" s="41" t="n">
        <f aca="false">F50+G50</f>
        <v>8411.4307082181</v>
      </c>
      <c r="I50" s="41" t="n">
        <f aca="false">F50*(1-Assumptions!$B$11)</f>
        <v>2102.85767705453</v>
      </c>
      <c r="J50" s="41" t="n">
        <f aca="false">Assumptions!$B$18</f>
        <v>5500</v>
      </c>
      <c r="K50" s="41" t="n">
        <f aca="false">C50*Assumptions!$B$13</f>
        <v>2000</v>
      </c>
      <c r="L50" s="41" t="n">
        <f aca="false">SUMIF(Assumptions!$B$33:$B$38,A50,Assumptions!$C$33:$C$38)</f>
        <v>0</v>
      </c>
      <c r="M50" s="41" t="n">
        <f aca="false">I50+J50+K50+L50</f>
        <v>9602.85767705453</v>
      </c>
      <c r="N50" s="41" t="n">
        <f aca="false">H50-M50</f>
        <v>-1191.42696883642</v>
      </c>
      <c r="O50" s="41" t="n">
        <f aca="false">O49+N50</f>
        <v>-195677.194674289</v>
      </c>
      <c r="P50" s="26" t="n">
        <f aca="false">IF(AND(A50&gt;=Assumptions!$B$24,N50&gt;=0),1,0)</f>
        <v>0</v>
      </c>
    </row>
    <row r="51" customFormat="false" ht="15" hidden="false" customHeight="false" outlineLevel="0" collapsed="false">
      <c r="A51" s="26" t="n">
        <v>46</v>
      </c>
      <c r="B51" s="26" t="n">
        <f aca="false">IF(A51&lt;=Assumptions!$B$42,1,IF(A51&lt;=Assumptions!$B$43,2,IF(A51&lt;=Assumptions!$B$44,3,IF(A51&lt;=Assumptions!$B$45,4,5))))</f>
        <v>5</v>
      </c>
      <c r="C51" s="40" t="n">
        <f aca="false">IF($A51=Assumptions!$B$22,Assumptions!$B$21,IF($A51&lt;Assumptions!$B$24,0,IF($A51&lt;=Assumptions!$B$26,Assumptions!$B$25,IF($A51&lt;=Assumptions!$B$28,Assumptions!$B$27,Assumptions!$B$29))*Assumptions!$B$14))</f>
        <v>8</v>
      </c>
      <c r="D51" s="40" t="n">
        <f aca="false">E50*Assumptions!$B$12</f>
        <v>5.04685842493086</v>
      </c>
      <c r="E51" s="40" t="n">
        <f aca="false">E50-D51+C51</f>
        <v>171.181755739431</v>
      </c>
      <c r="F51" s="41" t="n">
        <f aca="false">E51*Assumptions!$B$10</f>
        <v>8559.08778697156</v>
      </c>
      <c r="G51" s="41" t="n">
        <f aca="false">IF(A51=Assumptions!$B$22,Assumptions!$B$21*Assumptions!$B$23,0)</f>
        <v>0</v>
      </c>
      <c r="H51" s="41" t="n">
        <f aca="false">F51+G51</f>
        <v>8559.08778697156</v>
      </c>
      <c r="I51" s="41" t="n">
        <f aca="false">F51*(1-Assumptions!$B$11)</f>
        <v>2139.77194674289</v>
      </c>
      <c r="J51" s="41" t="n">
        <f aca="false">Assumptions!$B$18</f>
        <v>5500</v>
      </c>
      <c r="K51" s="41" t="n">
        <f aca="false">C51*Assumptions!$B$13</f>
        <v>2000</v>
      </c>
      <c r="L51" s="41" t="n">
        <f aca="false">SUMIF(Assumptions!$B$33:$B$38,A51,Assumptions!$C$33:$C$38)</f>
        <v>0</v>
      </c>
      <c r="M51" s="41" t="n">
        <f aca="false">I51+J51+K51+L51</f>
        <v>9639.77194674289</v>
      </c>
      <c r="N51" s="41" t="n">
        <f aca="false">H51-M51</f>
        <v>-1080.68415977133</v>
      </c>
      <c r="O51" s="41" t="n">
        <f aca="false">O50+N51</f>
        <v>-196757.87883406</v>
      </c>
      <c r="P51" s="26" t="n">
        <f aca="false">IF(AND(A51&gt;=Assumptions!$B$24,N51&gt;=0),1,0)</f>
        <v>0</v>
      </c>
    </row>
    <row r="52" customFormat="false" ht="15" hidden="false" customHeight="false" outlineLevel="0" collapsed="false">
      <c r="A52" s="26" t="n">
        <v>47</v>
      </c>
      <c r="B52" s="26" t="n">
        <f aca="false">IF(A52&lt;=Assumptions!$B$42,1,IF(A52&lt;=Assumptions!$B$43,2,IF(A52&lt;=Assumptions!$B$44,3,IF(A52&lt;=Assumptions!$B$45,4,5))))</f>
        <v>5</v>
      </c>
      <c r="C52" s="40" t="n">
        <f aca="false">IF($A52=Assumptions!$B$22,Assumptions!$B$21,IF($A52&lt;Assumptions!$B$24,0,IF($A52&lt;=Assumptions!$B$26,Assumptions!$B$25,IF($A52&lt;=Assumptions!$B$28,Assumptions!$B$27,Assumptions!$B$29))*Assumptions!$B$14))</f>
        <v>8</v>
      </c>
      <c r="D52" s="40" t="n">
        <f aca="false">E51*Assumptions!$B$12</f>
        <v>5.13545267218294</v>
      </c>
      <c r="E52" s="40" t="n">
        <f aca="false">E51-D52+C52</f>
        <v>174.046303067248</v>
      </c>
      <c r="F52" s="41" t="n">
        <f aca="false">E52*Assumptions!$B$10</f>
        <v>8702.31515336241</v>
      </c>
      <c r="G52" s="41" t="n">
        <f aca="false">IF(A52=Assumptions!$B$22,Assumptions!$B$21*Assumptions!$B$23,0)</f>
        <v>0</v>
      </c>
      <c r="H52" s="41" t="n">
        <f aca="false">F52+G52</f>
        <v>8702.31515336241</v>
      </c>
      <c r="I52" s="41" t="n">
        <f aca="false">F52*(1-Assumptions!$B$11)</f>
        <v>2175.5787883406</v>
      </c>
      <c r="J52" s="41" t="n">
        <f aca="false">Assumptions!$B$18</f>
        <v>5500</v>
      </c>
      <c r="K52" s="41" t="n">
        <f aca="false">C52*Assumptions!$B$13</f>
        <v>2000</v>
      </c>
      <c r="L52" s="41" t="n">
        <f aca="false">SUMIF(Assumptions!$B$33:$B$38,A52,Assumptions!$C$33:$C$38)</f>
        <v>0</v>
      </c>
      <c r="M52" s="41" t="n">
        <f aca="false">I52+J52+K52+L52</f>
        <v>9675.5787883406</v>
      </c>
      <c r="N52" s="41" t="n">
        <f aca="false">H52-M52</f>
        <v>-973.263634978192</v>
      </c>
      <c r="O52" s="41" t="n">
        <f aca="false">O51+N52</f>
        <v>-197731.142469038</v>
      </c>
      <c r="P52" s="26" t="n">
        <f aca="false">IF(AND(A52&gt;=Assumptions!$B$24,N52&gt;=0),1,0)</f>
        <v>0</v>
      </c>
    </row>
    <row r="53" customFormat="false" ht="15" hidden="false" customHeight="false" outlineLevel="0" collapsed="false">
      <c r="A53" s="26" t="n">
        <v>48</v>
      </c>
      <c r="B53" s="26" t="n">
        <f aca="false">IF(A53&lt;=Assumptions!$B$42,1,IF(A53&lt;=Assumptions!$B$43,2,IF(A53&lt;=Assumptions!$B$44,3,IF(A53&lt;=Assumptions!$B$45,4,5))))</f>
        <v>5</v>
      </c>
      <c r="C53" s="40" t="n">
        <f aca="false">IF($A53=Assumptions!$B$22,Assumptions!$B$21,IF($A53&lt;Assumptions!$B$24,0,IF($A53&lt;=Assumptions!$B$26,Assumptions!$B$25,IF($A53&lt;=Assumptions!$B$28,Assumptions!$B$27,Assumptions!$B$29))*Assumptions!$B$14))</f>
        <v>8</v>
      </c>
      <c r="D53" s="40" t="n">
        <f aca="false">E52*Assumptions!$B$12</f>
        <v>5.22138909201745</v>
      </c>
      <c r="E53" s="40" t="n">
        <f aca="false">E52-D53+C53</f>
        <v>176.824913975231</v>
      </c>
      <c r="F53" s="41" t="n">
        <f aca="false">E53*Assumptions!$B$10</f>
        <v>8841.24569876154</v>
      </c>
      <c r="G53" s="41" t="n">
        <f aca="false">IF(A53=Assumptions!$B$22,Assumptions!$B$21*Assumptions!$B$23,0)</f>
        <v>0</v>
      </c>
      <c r="H53" s="41" t="n">
        <f aca="false">F53+G53</f>
        <v>8841.24569876154</v>
      </c>
      <c r="I53" s="41" t="n">
        <f aca="false">F53*(1-Assumptions!$B$11)</f>
        <v>2210.31142469039</v>
      </c>
      <c r="J53" s="41" t="n">
        <f aca="false">Assumptions!$B$18</f>
        <v>5500</v>
      </c>
      <c r="K53" s="41" t="n">
        <f aca="false">C53*Assumptions!$B$13</f>
        <v>2000</v>
      </c>
      <c r="L53" s="41" t="n">
        <f aca="false">SUMIF(Assumptions!$B$33:$B$38,A53,Assumptions!$C$33:$C$38)</f>
        <v>0</v>
      </c>
      <c r="M53" s="41" t="n">
        <f aca="false">I53+J53+K53+L53</f>
        <v>9710.31142469039</v>
      </c>
      <c r="N53" s="41" t="n">
        <f aca="false">H53-M53</f>
        <v>-869.065725928846</v>
      </c>
      <c r="O53" s="41" t="n">
        <f aca="false">O52+N53</f>
        <v>-198600.208194967</v>
      </c>
      <c r="P53" s="26" t="n">
        <f aca="false">IF(AND(A53&gt;=Assumptions!$B$24,N53&gt;=0),1,0)</f>
        <v>0</v>
      </c>
    </row>
    <row r="54" customFormat="false" ht="15" hidden="false" customHeight="false" outlineLevel="0" collapsed="false">
      <c r="A54" s="26" t="n">
        <v>49</v>
      </c>
      <c r="B54" s="26" t="n">
        <f aca="false">IF(A54&lt;=Assumptions!$B$42,1,IF(A54&lt;=Assumptions!$B$43,2,IF(A54&lt;=Assumptions!$B$44,3,IF(A54&lt;=Assumptions!$B$45,4,5))))</f>
        <v>5</v>
      </c>
      <c r="C54" s="40" t="n">
        <f aca="false">IF($A54=Assumptions!$B$22,Assumptions!$B$21,IF($A54&lt;Assumptions!$B$24,0,IF($A54&lt;=Assumptions!$B$26,Assumptions!$B$25,IF($A54&lt;=Assumptions!$B$28,Assumptions!$B$27,Assumptions!$B$29))*Assumptions!$B$14))</f>
        <v>8</v>
      </c>
      <c r="D54" s="40" t="n">
        <f aca="false">E53*Assumptions!$B$12</f>
        <v>5.30474741925692</v>
      </c>
      <c r="E54" s="40" t="n">
        <f aca="false">E53-D54+C54</f>
        <v>179.520166555974</v>
      </c>
      <c r="F54" s="41" t="n">
        <f aca="false">E54*Assumptions!$B$10</f>
        <v>8976.00832779869</v>
      </c>
      <c r="G54" s="41" t="n">
        <f aca="false">IF(A54=Assumptions!$B$22,Assumptions!$B$21*Assumptions!$B$23,0)</f>
        <v>0</v>
      </c>
      <c r="H54" s="41" t="n">
        <f aca="false">F54+G54</f>
        <v>8976.00832779869</v>
      </c>
      <c r="I54" s="41" t="n">
        <f aca="false">F54*(1-Assumptions!$B$11)</f>
        <v>2244.00208194967</v>
      </c>
      <c r="J54" s="41" t="n">
        <f aca="false">Assumptions!$B$18</f>
        <v>5500</v>
      </c>
      <c r="K54" s="41" t="n">
        <f aca="false">C54*Assumptions!$B$13</f>
        <v>2000</v>
      </c>
      <c r="L54" s="41" t="n">
        <f aca="false">SUMIF(Assumptions!$B$33:$B$38,A54,Assumptions!$C$33:$C$38)</f>
        <v>0</v>
      </c>
      <c r="M54" s="41" t="n">
        <f aca="false">I54+J54+K54+L54</f>
        <v>9744.00208194967</v>
      </c>
      <c r="N54" s="41" t="n">
        <f aca="false">H54-M54</f>
        <v>-767.993754150979</v>
      </c>
      <c r="O54" s="41" t="n">
        <f aca="false">O53+N54</f>
        <v>-199368.201949118</v>
      </c>
      <c r="P54" s="26" t="n">
        <f aca="false">IF(AND(A54&gt;=Assumptions!$B$24,N54&gt;=0),1,0)</f>
        <v>0</v>
      </c>
    </row>
    <row r="55" customFormat="false" ht="15" hidden="false" customHeight="false" outlineLevel="0" collapsed="false">
      <c r="A55" s="26" t="n">
        <v>50</v>
      </c>
      <c r="B55" s="26" t="n">
        <f aca="false">IF(A55&lt;=Assumptions!$B$42,1,IF(A55&lt;=Assumptions!$B$43,2,IF(A55&lt;=Assumptions!$B$44,3,IF(A55&lt;=Assumptions!$B$45,4,5))))</f>
        <v>5</v>
      </c>
      <c r="C55" s="40" t="n">
        <f aca="false">IF($A55=Assumptions!$B$22,Assumptions!$B$21,IF($A55&lt;Assumptions!$B$24,0,IF($A55&lt;=Assumptions!$B$26,Assumptions!$B$25,IF($A55&lt;=Assumptions!$B$28,Assumptions!$B$27,Assumptions!$B$29))*Assumptions!$B$14))</f>
        <v>8</v>
      </c>
      <c r="D55" s="40" t="n">
        <f aca="false">E54*Assumptions!$B$12</f>
        <v>5.38560499667922</v>
      </c>
      <c r="E55" s="40" t="n">
        <f aca="false">E54-D55+C55</f>
        <v>182.134561559295</v>
      </c>
      <c r="F55" s="41" t="n">
        <f aca="false">E55*Assumptions!$B$10</f>
        <v>9106.72807796473</v>
      </c>
      <c r="G55" s="41" t="n">
        <f aca="false">IF(A55=Assumptions!$B$22,Assumptions!$B$21*Assumptions!$B$23,0)</f>
        <v>0</v>
      </c>
      <c r="H55" s="41" t="n">
        <f aca="false">F55+G55</f>
        <v>9106.72807796473</v>
      </c>
      <c r="I55" s="41" t="n">
        <f aca="false">F55*(1-Assumptions!$B$11)</f>
        <v>2276.68201949118</v>
      </c>
      <c r="J55" s="41" t="n">
        <f aca="false">Assumptions!$B$18</f>
        <v>5500</v>
      </c>
      <c r="K55" s="41" t="n">
        <f aca="false">C55*Assumptions!$B$13</f>
        <v>2000</v>
      </c>
      <c r="L55" s="41" t="n">
        <f aca="false">SUMIF(Assumptions!$B$33:$B$38,A55,Assumptions!$C$33:$C$38)</f>
        <v>0</v>
      </c>
      <c r="M55" s="41" t="n">
        <f aca="false">I55+J55+K55+L55</f>
        <v>9776.68201949118</v>
      </c>
      <c r="N55" s="41" t="n">
        <f aca="false">H55-M55</f>
        <v>-669.95394152645</v>
      </c>
      <c r="O55" s="41" t="n">
        <f aca="false">O54+N55</f>
        <v>-200038.155890645</v>
      </c>
      <c r="P55" s="26" t="n">
        <f aca="false">IF(AND(A55&gt;=Assumptions!$B$24,N55&gt;=0),1,0)</f>
        <v>0</v>
      </c>
    </row>
    <row r="56" customFormat="false" ht="15" hidden="false" customHeight="false" outlineLevel="0" collapsed="false">
      <c r="A56" s="26" t="n">
        <v>51</v>
      </c>
      <c r="B56" s="26" t="n">
        <f aca="false">IF(A56&lt;=Assumptions!$B$42,1,IF(A56&lt;=Assumptions!$B$43,2,IF(A56&lt;=Assumptions!$B$44,3,IF(A56&lt;=Assumptions!$B$45,4,5))))</f>
        <v>5</v>
      </c>
      <c r="C56" s="40" t="n">
        <f aca="false">IF($A56=Assumptions!$B$22,Assumptions!$B$21,IF($A56&lt;Assumptions!$B$24,0,IF($A56&lt;=Assumptions!$B$26,Assumptions!$B$25,IF($A56&lt;=Assumptions!$B$28,Assumptions!$B$27,Assumptions!$B$29))*Assumptions!$B$14))</f>
        <v>8</v>
      </c>
      <c r="D56" s="40" t="n">
        <f aca="false">E55*Assumptions!$B$12</f>
        <v>5.46403684677884</v>
      </c>
      <c r="E56" s="40" t="n">
        <f aca="false">E55-D56+C56</f>
        <v>184.670524712516</v>
      </c>
      <c r="F56" s="41" t="n">
        <f aca="false">E56*Assumptions!$B$10</f>
        <v>9233.52623562579</v>
      </c>
      <c r="G56" s="41" t="n">
        <f aca="false">IF(A56=Assumptions!$B$22,Assumptions!$B$21*Assumptions!$B$23,0)</f>
        <v>0</v>
      </c>
      <c r="H56" s="41" t="n">
        <f aca="false">F56+G56</f>
        <v>9233.52623562579</v>
      </c>
      <c r="I56" s="41" t="n">
        <f aca="false">F56*(1-Assumptions!$B$11)</f>
        <v>2308.38155890645</v>
      </c>
      <c r="J56" s="41" t="n">
        <f aca="false">Assumptions!$B$18</f>
        <v>5500</v>
      </c>
      <c r="K56" s="41" t="n">
        <f aca="false">C56*Assumptions!$B$13</f>
        <v>2000</v>
      </c>
      <c r="L56" s="41" t="n">
        <f aca="false">SUMIF(Assumptions!$B$33:$B$38,A56,Assumptions!$C$33:$C$38)</f>
        <v>0</v>
      </c>
      <c r="M56" s="41" t="n">
        <f aca="false">I56+J56+K56+L56</f>
        <v>9808.38155890645</v>
      </c>
      <c r="N56" s="41" t="n">
        <f aca="false">H56-M56</f>
        <v>-574.855323280655</v>
      </c>
      <c r="O56" s="41" t="n">
        <f aca="false">O55+N56</f>
        <v>-200613.011213925</v>
      </c>
      <c r="P56" s="26" t="n">
        <f aca="false">IF(AND(A56&gt;=Assumptions!$B$24,N56&gt;=0),1,0)</f>
        <v>0</v>
      </c>
    </row>
    <row r="57" customFormat="false" ht="15" hidden="false" customHeight="false" outlineLevel="0" collapsed="false">
      <c r="A57" s="26" t="n">
        <v>52</v>
      </c>
      <c r="B57" s="26" t="n">
        <f aca="false">IF(A57&lt;=Assumptions!$B$42,1,IF(A57&lt;=Assumptions!$B$43,2,IF(A57&lt;=Assumptions!$B$44,3,IF(A57&lt;=Assumptions!$B$45,4,5))))</f>
        <v>5</v>
      </c>
      <c r="C57" s="40" t="n">
        <f aca="false">IF($A57=Assumptions!$B$22,Assumptions!$B$21,IF($A57&lt;Assumptions!$B$24,0,IF($A57&lt;=Assumptions!$B$26,Assumptions!$B$25,IF($A57&lt;=Assumptions!$B$28,Assumptions!$B$27,Assumptions!$B$29))*Assumptions!$B$14))</f>
        <v>8</v>
      </c>
      <c r="D57" s="40" t="n">
        <f aca="false">E56*Assumptions!$B$12</f>
        <v>5.54011574137548</v>
      </c>
      <c r="E57" s="40" t="n">
        <f aca="false">E56-D57+C57</f>
        <v>187.13040897114</v>
      </c>
      <c r="F57" s="41" t="n">
        <f aca="false">E57*Assumptions!$B$10</f>
        <v>9356.52044855702</v>
      </c>
      <c r="G57" s="41" t="n">
        <f aca="false">IF(A57=Assumptions!$B$22,Assumptions!$B$21*Assumptions!$B$23,0)</f>
        <v>0</v>
      </c>
      <c r="H57" s="41" t="n">
        <f aca="false">F57+G57</f>
        <v>9356.52044855702</v>
      </c>
      <c r="I57" s="41" t="n">
        <f aca="false">F57*(1-Assumptions!$B$11)</f>
        <v>2339.13011213925</v>
      </c>
      <c r="J57" s="41" t="n">
        <f aca="false">Assumptions!$B$18</f>
        <v>5500</v>
      </c>
      <c r="K57" s="41" t="n">
        <f aca="false">C57*Assumptions!$B$13</f>
        <v>2000</v>
      </c>
      <c r="L57" s="41" t="n">
        <f aca="false">SUMIF(Assumptions!$B$33:$B$38,A57,Assumptions!$C$33:$C$38)</f>
        <v>0</v>
      </c>
      <c r="M57" s="41" t="n">
        <f aca="false">I57+J57+K57+L57</f>
        <v>9839.13011213925</v>
      </c>
      <c r="N57" s="41" t="n">
        <f aca="false">H57-M57</f>
        <v>-482.609663582236</v>
      </c>
      <c r="O57" s="41" t="n">
        <f aca="false">O56+N57</f>
        <v>-201095.620877508</v>
      </c>
      <c r="P57" s="26" t="n">
        <f aca="false">IF(AND(A57&gt;=Assumptions!$B$24,N57&gt;=0),1,0)</f>
        <v>0</v>
      </c>
    </row>
    <row r="58" customFormat="false" ht="15" hidden="false" customHeight="false" outlineLevel="0" collapsed="false">
      <c r="A58" s="26" t="n">
        <v>53</v>
      </c>
      <c r="B58" s="26" t="n">
        <f aca="false">IF(A58&lt;=Assumptions!$B$42,1,IF(A58&lt;=Assumptions!$B$43,2,IF(A58&lt;=Assumptions!$B$44,3,IF(A58&lt;=Assumptions!$B$45,4,5))))</f>
        <v>5</v>
      </c>
      <c r="C58" s="40" t="n">
        <f aca="false">IF($A58=Assumptions!$B$22,Assumptions!$B$21,IF($A58&lt;Assumptions!$B$24,0,IF($A58&lt;=Assumptions!$B$26,Assumptions!$B$25,IF($A58&lt;=Assumptions!$B$28,Assumptions!$B$27,Assumptions!$B$29))*Assumptions!$B$14))</f>
        <v>8</v>
      </c>
      <c r="D58" s="40" t="n">
        <f aca="false">E57*Assumptions!$B$12</f>
        <v>5.61391226913421</v>
      </c>
      <c r="E58" s="40" t="n">
        <f aca="false">E57-D58+C58</f>
        <v>189.516496702006</v>
      </c>
      <c r="F58" s="41" t="n">
        <f aca="false">E58*Assumptions!$B$10</f>
        <v>9475.82483510031</v>
      </c>
      <c r="G58" s="41" t="n">
        <f aca="false">IF(A58=Assumptions!$B$22,Assumptions!$B$21*Assumptions!$B$23,0)</f>
        <v>0</v>
      </c>
      <c r="H58" s="41" t="n">
        <f aca="false">F58+G58</f>
        <v>9475.82483510031</v>
      </c>
      <c r="I58" s="41" t="n">
        <f aca="false">F58*(1-Assumptions!$B$11)</f>
        <v>2368.95620877508</v>
      </c>
      <c r="J58" s="41" t="n">
        <f aca="false">Assumptions!$B$18</f>
        <v>5500</v>
      </c>
      <c r="K58" s="41" t="n">
        <f aca="false">C58*Assumptions!$B$13</f>
        <v>2000</v>
      </c>
      <c r="L58" s="41" t="n">
        <f aca="false">SUMIF(Assumptions!$B$33:$B$38,A58,Assumptions!$C$33:$C$38)</f>
        <v>0</v>
      </c>
      <c r="M58" s="41" t="n">
        <f aca="false">I58+J58+K58+L58</f>
        <v>9868.95620877508</v>
      </c>
      <c r="N58" s="41" t="n">
        <f aca="false">H58-M58</f>
        <v>-393.131373674769</v>
      </c>
      <c r="O58" s="41" t="n">
        <f aca="false">O57+N58</f>
        <v>-201488.752251182</v>
      </c>
      <c r="P58" s="26" t="n">
        <f aca="false">IF(AND(A58&gt;=Assumptions!$B$24,N58&gt;=0),1,0)</f>
        <v>0</v>
      </c>
    </row>
    <row r="59" customFormat="false" ht="15" hidden="false" customHeight="false" outlineLevel="0" collapsed="false">
      <c r="A59" s="26" t="n">
        <v>54</v>
      </c>
      <c r="B59" s="26" t="n">
        <f aca="false">IF(A59&lt;=Assumptions!$B$42,1,IF(A59&lt;=Assumptions!$B$43,2,IF(A59&lt;=Assumptions!$B$44,3,IF(A59&lt;=Assumptions!$B$45,4,5))))</f>
        <v>5</v>
      </c>
      <c r="C59" s="40" t="n">
        <f aca="false">IF($A59=Assumptions!$B$22,Assumptions!$B$21,IF($A59&lt;Assumptions!$B$24,0,IF($A59&lt;=Assumptions!$B$26,Assumptions!$B$25,IF($A59&lt;=Assumptions!$B$28,Assumptions!$B$27,Assumptions!$B$29))*Assumptions!$B$14))</f>
        <v>8</v>
      </c>
      <c r="D59" s="40" t="n">
        <f aca="false">E58*Assumptions!$B$12</f>
        <v>5.68549490106018</v>
      </c>
      <c r="E59" s="40" t="n">
        <f aca="false">E58-D59+C59</f>
        <v>191.831001800946</v>
      </c>
      <c r="F59" s="41" t="n">
        <f aca="false">E59*Assumptions!$B$10</f>
        <v>9591.5500900473</v>
      </c>
      <c r="G59" s="41" t="n">
        <f aca="false">IF(A59=Assumptions!$B$22,Assumptions!$B$21*Assumptions!$B$23,0)</f>
        <v>0</v>
      </c>
      <c r="H59" s="41" t="n">
        <f aca="false">F59+G59</f>
        <v>9591.5500900473</v>
      </c>
      <c r="I59" s="41" t="n">
        <f aca="false">F59*(1-Assumptions!$B$11)</f>
        <v>2397.88752251182</v>
      </c>
      <c r="J59" s="41" t="n">
        <f aca="false">Assumptions!$B$18</f>
        <v>5500</v>
      </c>
      <c r="K59" s="41" t="n">
        <f aca="false">C59*Assumptions!$B$13</f>
        <v>2000</v>
      </c>
      <c r="L59" s="41" t="n">
        <f aca="false">SUMIF(Assumptions!$B$33:$B$38,A59,Assumptions!$C$33:$C$38)</f>
        <v>0</v>
      </c>
      <c r="M59" s="41" t="n">
        <f aca="false">I59+J59+K59+L59</f>
        <v>9897.88752251182</v>
      </c>
      <c r="N59" s="41" t="n">
        <f aca="false">H59-M59</f>
        <v>-306.337432464527</v>
      </c>
      <c r="O59" s="41" t="n">
        <f aca="false">O58+N59</f>
        <v>-201795.089683647</v>
      </c>
      <c r="P59" s="26" t="n">
        <f aca="false">IF(AND(A59&gt;=Assumptions!$B$24,N59&gt;=0),1,0)</f>
        <v>0</v>
      </c>
    </row>
    <row r="60" customFormat="false" ht="15" hidden="false" customHeight="false" outlineLevel="0" collapsed="false">
      <c r="A60" s="26" t="n">
        <v>55</v>
      </c>
      <c r="B60" s="26" t="n">
        <f aca="false">IF(A60&lt;=Assumptions!$B$42,1,IF(A60&lt;=Assumptions!$B$43,2,IF(A60&lt;=Assumptions!$B$44,3,IF(A60&lt;=Assumptions!$B$45,4,5))))</f>
        <v>5</v>
      </c>
      <c r="C60" s="40" t="n">
        <f aca="false">IF($A60=Assumptions!$B$22,Assumptions!$B$21,IF($A60&lt;Assumptions!$B$24,0,IF($A60&lt;=Assumptions!$B$26,Assumptions!$B$25,IF($A60&lt;=Assumptions!$B$28,Assumptions!$B$27,Assumptions!$B$29))*Assumptions!$B$14))</f>
        <v>8</v>
      </c>
      <c r="D60" s="40" t="n">
        <f aca="false">E59*Assumptions!$B$12</f>
        <v>5.75493005402838</v>
      </c>
      <c r="E60" s="40" t="n">
        <f aca="false">E59-D60+C60</f>
        <v>194.076071746918</v>
      </c>
      <c r="F60" s="41" t="n">
        <f aca="false">E60*Assumptions!$B$10</f>
        <v>9703.80358734588</v>
      </c>
      <c r="G60" s="41" t="n">
        <f aca="false">IF(A60=Assumptions!$B$22,Assumptions!$B$21*Assumptions!$B$23,0)</f>
        <v>0</v>
      </c>
      <c r="H60" s="41" t="n">
        <f aca="false">F60+G60</f>
        <v>9703.80358734588</v>
      </c>
      <c r="I60" s="41" t="n">
        <f aca="false">F60*(1-Assumptions!$B$11)</f>
        <v>2425.95089683647</v>
      </c>
      <c r="J60" s="41" t="n">
        <f aca="false">Assumptions!$B$18</f>
        <v>5500</v>
      </c>
      <c r="K60" s="41" t="n">
        <f aca="false">C60*Assumptions!$B$13</f>
        <v>2000</v>
      </c>
      <c r="L60" s="41" t="n">
        <f aca="false">SUMIF(Assumptions!$B$33:$B$38,A60,Assumptions!$C$33:$C$38)</f>
        <v>0</v>
      </c>
      <c r="M60" s="41" t="n">
        <f aca="false">I60+J60+K60+L60</f>
        <v>9925.95089683647</v>
      </c>
      <c r="N60" s="41" t="n">
        <f aca="false">H60-M60</f>
        <v>-222.147309490591</v>
      </c>
      <c r="O60" s="41" t="n">
        <f aca="false">O59+N60</f>
        <v>-202017.236993137</v>
      </c>
      <c r="P60" s="26" t="n">
        <f aca="false">IF(AND(A60&gt;=Assumptions!$B$24,N60&gt;=0),1,0)</f>
        <v>0</v>
      </c>
    </row>
    <row r="61" customFormat="false" ht="15" hidden="false" customHeight="false" outlineLevel="0" collapsed="false">
      <c r="A61" s="26" t="n">
        <v>56</v>
      </c>
      <c r="B61" s="26" t="n">
        <f aca="false">IF(A61&lt;=Assumptions!$B$42,1,IF(A61&lt;=Assumptions!$B$43,2,IF(A61&lt;=Assumptions!$B$44,3,IF(A61&lt;=Assumptions!$B$45,4,5))))</f>
        <v>5</v>
      </c>
      <c r="C61" s="40" t="n">
        <f aca="false">IF($A61=Assumptions!$B$22,Assumptions!$B$21,IF($A61&lt;Assumptions!$B$24,0,IF($A61&lt;=Assumptions!$B$26,Assumptions!$B$25,IF($A61&lt;=Assumptions!$B$28,Assumptions!$B$27,Assumptions!$B$29))*Assumptions!$B$14))</f>
        <v>8</v>
      </c>
      <c r="D61" s="40" t="n">
        <f aca="false">E60*Assumptions!$B$12</f>
        <v>5.82228215240753</v>
      </c>
      <c r="E61" s="40" t="n">
        <f aca="false">E60-D61+C61</f>
        <v>196.25378959451</v>
      </c>
      <c r="F61" s="41" t="n">
        <f aca="false">E61*Assumptions!$B$10</f>
        <v>9812.6894797255</v>
      </c>
      <c r="G61" s="41" t="n">
        <f aca="false">IF(A61=Assumptions!$B$22,Assumptions!$B$21*Assumptions!$B$23,0)</f>
        <v>0</v>
      </c>
      <c r="H61" s="41" t="n">
        <f aca="false">F61+G61</f>
        <v>9812.6894797255</v>
      </c>
      <c r="I61" s="41" t="n">
        <f aca="false">F61*(1-Assumptions!$B$11)</f>
        <v>2453.17236993138</v>
      </c>
      <c r="J61" s="41" t="n">
        <f aca="false">Assumptions!$B$18</f>
        <v>5500</v>
      </c>
      <c r="K61" s="41" t="n">
        <f aca="false">C61*Assumptions!$B$13</f>
        <v>2000</v>
      </c>
      <c r="L61" s="41" t="n">
        <f aca="false">SUMIF(Assumptions!$B$33:$B$38,A61,Assumptions!$C$33:$C$38)</f>
        <v>0</v>
      </c>
      <c r="M61" s="41" t="n">
        <f aca="false">I61+J61+K61+L61</f>
        <v>9953.17236993138</v>
      </c>
      <c r="N61" s="41" t="n">
        <f aca="false">H61-M61</f>
        <v>-140.482890205873</v>
      </c>
      <c r="O61" s="41" t="n">
        <f aca="false">O60+N61</f>
        <v>-202157.719883343</v>
      </c>
      <c r="P61" s="26" t="n">
        <f aca="false">IF(AND(A61&gt;=Assumptions!$B$24,N61&gt;=0),1,0)</f>
        <v>0</v>
      </c>
    </row>
    <row r="62" customFormat="false" ht="15" hidden="false" customHeight="false" outlineLevel="0" collapsed="false">
      <c r="A62" s="26" t="n">
        <v>57</v>
      </c>
      <c r="B62" s="26" t="n">
        <f aca="false">IF(A62&lt;=Assumptions!$B$42,1,IF(A62&lt;=Assumptions!$B$43,2,IF(A62&lt;=Assumptions!$B$44,3,IF(A62&lt;=Assumptions!$B$45,4,5))))</f>
        <v>5</v>
      </c>
      <c r="C62" s="40" t="n">
        <f aca="false">IF($A62=Assumptions!$B$22,Assumptions!$B$21,IF($A62&lt;Assumptions!$B$24,0,IF($A62&lt;=Assumptions!$B$26,Assumptions!$B$25,IF($A62&lt;=Assumptions!$B$28,Assumptions!$B$27,Assumptions!$B$29))*Assumptions!$B$14))</f>
        <v>8</v>
      </c>
      <c r="D62" s="40" t="n">
        <f aca="false">E61*Assumptions!$B$12</f>
        <v>5.8876136878353</v>
      </c>
      <c r="E62" s="40" t="n">
        <f aca="false">E61-D62+C62</f>
        <v>198.366175906675</v>
      </c>
      <c r="F62" s="41" t="n">
        <f aca="false">E62*Assumptions!$B$10</f>
        <v>9918.30879533374</v>
      </c>
      <c r="G62" s="41" t="n">
        <f aca="false">IF(A62=Assumptions!$B$22,Assumptions!$B$21*Assumptions!$B$23,0)</f>
        <v>0</v>
      </c>
      <c r="H62" s="41" t="n">
        <f aca="false">F62+G62</f>
        <v>9918.30879533374</v>
      </c>
      <c r="I62" s="41" t="n">
        <f aca="false">F62*(1-Assumptions!$B$11)</f>
        <v>2479.57719883343</v>
      </c>
      <c r="J62" s="41" t="n">
        <f aca="false">Assumptions!$B$18</f>
        <v>5500</v>
      </c>
      <c r="K62" s="41" t="n">
        <f aca="false">C62*Assumptions!$B$13</f>
        <v>2000</v>
      </c>
      <c r="L62" s="41" t="n">
        <f aca="false">SUMIF(Assumptions!$B$33:$B$38,A62,Assumptions!$C$33:$C$38)</f>
        <v>0</v>
      </c>
      <c r="M62" s="41" t="n">
        <f aca="false">I62+J62+K62+L62</f>
        <v>9979.57719883344</v>
      </c>
      <c r="N62" s="41" t="n">
        <f aca="false">H62-M62</f>
        <v>-61.2684034996964</v>
      </c>
      <c r="O62" s="41" t="n">
        <f aca="false">O61+N62</f>
        <v>-202218.988286843</v>
      </c>
      <c r="P62" s="26" t="n">
        <f aca="false">IF(AND(A62&gt;=Assumptions!$B$24,N62&gt;=0),1,0)</f>
        <v>0</v>
      </c>
    </row>
    <row r="63" customFormat="false" ht="15" hidden="false" customHeight="false" outlineLevel="0" collapsed="false">
      <c r="A63" s="26" t="n">
        <v>58</v>
      </c>
      <c r="B63" s="26" t="n">
        <f aca="false">IF(A63&lt;=Assumptions!$B$42,1,IF(A63&lt;=Assumptions!$B$43,2,IF(A63&lt;=Assumptions!$B$44,3,IF(A63&lt;=Assumptions!$B$45,4,5))))</f>
        <v>5</v>
      </c>
      <c r="C63" s="40" t="n">
        <f aca="false">IF($A63=Assumptions!$B$22,Assumptions!$B$21,IF($A63&lt;Assumptions!$B$24,0,IF($A63&lt;=Assumptions!$B$26,Assumptions!$B$25,IF($A63&lt;=Assumptions!$B$28,Assumptions!$B$27,Assumptions!$B$29))*Assumptions!$B$14))</f>
        <v>8</v>
      </c>
      <c r="D63" s="40" t="n">
        <f aca="false">E62*Assumptions!$B$12</f>
        <v>5.95098527720024</v>
      </c>
      <c r="E63" s="40" t="n">
        <f aca="false">E62-D63+C63</f>
        <v>200.415190629475</v>
      </c>
      <c r="F63" s="41" t="n">
        <f aca="false">E63*Assumptions!$B$10</f>
        <v>10020.7595314737</v>
      </c>
      <c r="G63" s="41" t="n">
        <f aca="false">IF(A63=Assumptions!$B$22,Assumptions!$B$21*Assumptions!$B$23,0)</f>
        <v>0</v>
      </c>
      <c r="H63" s="41" t="n">
        <f aca="false">F63+G63</f>
        <v>10020.7595314737</v>
      </c>
      <c r="I63" s="41" t="n">
        <f aca="false">F63*(1-Assumptions!$B$11)</f>
        <v>2505.18988286843</v>
      </c>
      <c r="J63" s="41" t="n">
        <f aca="false">Assumptions!$B$18</f>
        <v>5500</v>
      </c>
      <c r="K63" s="41" t="n">
        <f aca="false">C63*Assumptions!$B$13</f>
        <v>2000</v>
      </c>
      <c r="L63" s="41" t="n">
        <f aca="false">SUMIF(Assumptions!$B$33:$B$38,A63,Assumptions!$C$33:$C$38)</f>
        <v>0</v>
      </c>
      <c r="M63" s="41" t="n">
        <f aca="false">I63+J63+K63+L63</f>
        <v>10005.1898828684</v>
      </c>
      <c r="N63" s="41" t="n">
        <f aca="false">H63-M63</f>
        <v>15.5696486052948</v>
      </c>
      <c r="O63" s="41" t="n">
        <f aca="false">O62+N63</f>
        <v>-202203.418638238</v>
      </c>
      <c r="P63" s="26" t="n">
        <f aca="false">IF(AND(A63&gt;=Assumptions!$B$24,N63&gt;=0),1,0)</f>
        <v>1</v>
      </c>
    </row>
    <row r="64" customFormat="false" ht="15" hidden="false" customHeight="false" outlineLevel="0" collapsed="false">
      <c r="A64" s="26" t="n">
        <v>59</v>
      </c>
      <c r="B64" s="26" t="n">
        <f aca="false">IF(A64&lt;=Assumptions!$B$42,1,IF(A64&lt;=Assumptions!$B$43,2,IF(A64&lt;=Assumptions!$B$44,3,IF(A64&lt;=Assumptions!$B$45,4,5))))</f>
        <v>5</v>
      </c>
      <c r="C64" s="40" t="n">
        <f aca="false">IF($A64=Assumptions!$B$22,Assumptions!$B$21,IF($A64&lt;Assumptions!$B$24,0,IF($A64&lt;=Assumptions!$B$26,Assumptions!$B$25,IF($A64&lt;=Assumptions!$B$28,Assumptions!$B$27,Assumptions!$B$29))*Assumptions!$B$14))</f>
        <v>8</v>
      </c>
      <c r="D64" s="40" t="n">
        <f aca="false">E63*Assumptions!$B$12</f>
        <v>6.01245571888424</v>
      </c>
      <c r="E64" s="40" t="n">
        <f aca="false">E63-D64+C64</f>
        <v>202.40273491059</v>
      </c>
      <c r="F64" s="41" t="n">
        <f aca="false">E64*Assumptions!$B$10</f>
        <v>10120.1367455295</v>
      </c>
      <c r="G64" s="41" t="n">
        <f aca="false">IF(A64=Assumptions!$B$22,Assumptions!$B$21*Assumptions!$B$23,0)</f>
        <v>0</v>
      </c>
      <c r="H64" s="41" t="n">
        <f aca="false">F64+G64</f>
        <v>10120.1367455295</v>
      </c>
      <c r="I64" s="41" t="n">
        <f aca="false">F64*(1-Assumptions!$B$11)</f>
        <v>2530.03418638238</v>
      </c>
      <c r="J64" s="41" t="n">
        <f aca="false">Assumptions!$B$18</f>
        <v>5500</v>
      </c>
      <c r="K64" s="41" t="n">
        <f aca="false">C64*Assumptions!$B$13</f>
        <v>2000</v>
      </c>
      <c r="L64" s="41" t="n">
        <f aca="false">SUMIF(Assumptions!$B$33:$B$38,A64,Assumptions!$C$33:$C$38)</f>
        <v>0</v>
      </c>
      <c r="M64" s="41" t="n">
        <f aca="false">I64+J64+K64+L64</f>
        <v>10030.0341863824</v>
      </c>
      <c r="N64" s="41" t="n">
        <f aca="false">H64-M64</f>
        <v>90.1025591471371</v>
      </c>
      <c r="O64" s="41" t="n">
        <f aca="false">O63+N64</f>
        <v>-202113.316079091</v>
      </c>
      <c r="P64" s="26" t="n">
        <f aca="false">IF(AND(A64&gt;=Assumptions!$B$24,N64&gt;=0),1,0)</f>
        <v>1</v>
      </c>
    </row>
    <row r="65" customFormat="false" ht="15" hidden="false" customHeight="false" outlineLevel="0" collapsed="false">
      <c r="A65" s="26" t="n">
        <v>60</v>
      </c>
      <c r="B65" s="26" t="n">
        <f aca="false">IF(A65&lt;=Assumptions!$B$42,1,IF(A65&lt;=Assumptions!$B$43,2,IF(A65&lt;=Assumptions!$B$44,3,IF(A65&lt;=Assumptions!$B$45,4,5))))</f>
        <v>5</v>
      </c>
      <c r="C65" s="40" t="n">
        <f aca="false">IF($A65=Assumptions!$B$22,Assumptions!$B$21,IF($A65&lt;Assumptions!$B$24,0,IF($A65&lt;=Assumptions!$B$26,Assumptions!$B$25,IF($A65&lt;=Assumptions!$B$28,Assumptions!$B$27,Assumptions!$B$29))*Assumptions!$B$14))</f>
        <v>8</v>
      </c>
      <c r="D65" s="40" t="n">
        <f aca="false">E64*Assumptions!$B$12</f>
        <v>6.07208204731771</v>
      </c>
      <c r="E65" s="40" t="n">
        <f aca="false">E64-D65+C65</f>
        <v>204.330652863273</v>
      </c>
      <c r="F65" s="41" t="n">
        <f aca="false">E65*Assumptions!$B$10</f>
        <v>10216.5326431636</v>
      </c>
      <c r="G65" s="41" t="n">
        <f aca="false">IF(A65=Assumptions!$B$22,Assumptions!$B$21*Assumptions!$B$23,0)</f>
        <v>0</v>
      </c>
      <c r="H65" s="41" t="n">
        <f aca="false">F65+G65</f>
        <v>10216.5326431636</v>
      </c>
      <c r="I65" s="41" t="n">
        <f aca="false">F65*(1-Assumptions!$B$11)</f>
        <v>2554.13316079091</v>
      </c>
      <c r="J65" s="41" t="n">
        <f aca="false">Assumptions!$B$18</f>
        <v>5500</v>
      </c>
      <c r="K65" s="41" t="n">
        <f aca="false">C65*Assumptions!$B$13</f>
        <v>2000</v>
      </c>
      <c r="L65" s="41" t="n">
        <f aca="false">SUMIF(Assumptions!$B$33:$B$38,A65,Assumptions!$C$33:$C$38)</f>
        <v>0</v>
      </c>
      <c r="M65" s="41" t="n">
        <f aca="false">I65+J65+K65+L65</f>
        <v>10054.1331607909</v>
      </c>
      <c r="N65" s="41" t="n">
        <f aca="false">H65-M65</f>
        <v>162.399482372723</v>
      </c>
      <c r="O65" s="41" t="n">
        <f aca="false">O64+N65</f>
        <v>-201950.916596718</v>
      </c>
      <c r="P65" s="26" t="n">
        <f aca="false">IF(AND(A65&gt;=Assumptions!$B$24,N65&gt;=0),1,0)</f>
        <v>1</v>
      </c>
    </row>
    <row r="67" customFormat="false" ht="15" hidden="false" customHeight="false" outlineLevel="0" collapsed="false">
      <c r="A67" s="20" t="s">
        <v>181</v>
      </c>
    </row>
  </sheetData>
  <conditionalFormatting sqref="O6:O65">
    <cfRule type="expression" priority="2" aboveAverage="0" equalAverage="0" bottom="0" percent="0" rank="0" text="" dxfId="1">
      <formula>O6=MIN($O$6:$O$65)</formula>
    </cfRule>
  </conditionalFormatting>
  <conditionalFormatting sqref="N6:N65">
    <cfRule type="cellIs" priority="3" operator="lessThan" aboveAverage="0" equalAverage="0" bottom="0" percent="0" rank="0" text="" dxfId="2">
      <formula>0</formula>
    </cfRule>
  </conditionalFormatting>
  <conditionalFormatting sqref="P6:P65">
    <cfRule type="cellIs" priority="4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A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27" min="3" style="0" width="13"/>
  </cols>
  <sheetData>
    <row r="1" customFormat="false" ht="17.35" hidden="false" customHeight="false" outlineLevel="0" collapsed="false">
      <c r="A1" s="28" t="s">
        <v>182</v>
      </c>
    </row>
    <row r="2" customFormat="false" ht="15" hidden="false" customHeight="false" outlineLevel="0" collapsed="false">
      <c r="A2" s="2" t="s">
        <v>183</v>
      </c>
    </row>
    <row r="3" customFormat="false" ht="15" hidden="false" customHeight="false" outlineLevel="0" collapsed="false">
      <c r="C3" s="42" t="str">
        <f aca="false">Assumptions!C9</f>
        <v>Conservative</v>
      </c>
      <c r="D3" s="42"/>
      <c r="E3" s="42"/>
      <c r="F3" s="42"/>
      <c r="G3" s="42"/>
      <c r="H3" s="42" t="str">
        <f aca="false">Assumptions!D9</f>
        <v>Base</v>
      </c>
      <c r="I3" s="42"/>
      <c r="J3" s="42"/>
      <c r="K3" s="42"/>
      <c r="L3" s="42"/>
      <c r="M3" s="42" t="str">
        <f aca="false">Assumptions!E9</f>
        <v>Optimistic</v>
      </c>
      <c r="N3" s="42"/>
      <c r="O3" s="42"/>
      <c r="P3" s="42"/>
      <c r="Q3" s="42"/>
      <c r="R3" s="42" t="str">
        <f aca="false">Assumptions!F9</f>
        <v>Base - no founder draw</v>
      </c>
      <c r="S3" s="42"/>
      <c r="T3" s="42"/>
      <c r="U3" s="42"/>
      <c r="V3" s="42"/>
      <c r="W3" s="42" t="str">
        <f aca="false">Assumptions!G9</f>
        <v>Custom</v>
      </c>
      <c r="X3" s="42"/>
      <c r="Y3" s="42"/>
      <c r="Z3" s="42"/>
      <c r="AA3" s="42"/>
    </row>
    <row r="4" customFormat="false" ht="30" hidden="false" customHeight="true" outlineLevel="0" collapsed="false">
      <c r="A4" s="16" t="s">
        <v>143</v>
      </c>
      <c r="B4" s="16" t="s">
        <v>176</v>
      </c>
      <c r="C4" s="16" t="s">
        <v>167</v>
      </c>
      <c r="D4" s="16" t="s">
        <v>184</v>
      </c>
      <c r="E4" s="16" t="s">
        <v>178</v>
      </c>
      <c r="F4" s="16" t="s">
        <v>179</v>
      </c>
      <c r="G4" s="16" t="s">
        <v>180</v>
      </c>
      <c r="H4" s="16" t="s">
        <v>167</v>
      </c>
      <c r="I4" s="16" t="s">
        <v>184</v>
      </c>
      <c r="J4" s="16" t="s">
        <v>178</v>
      </c>
      <c r="K4" s="16" t="s">
        <v>179</v>
      </c>
      <c r="L4" s="16" t="s">
        <v>180</v>
      </c>
      <c r="M4" s="16" t="s">
        <v>167</v>
      </c>
      <c r="N4" s="16" t="s">
        <v>184</v>
      </c>
      <c r="O4" s="16" t="s">
        <v>178</v>
      </c>
      <c r="P4" s="16" t="s">
        <v>179</v>
      </c>
      <c r="Q4" s="16" t="s">
        <v>180</v>
      </c>
      <c r="R4" s="16" t="s">
        <v>167</v>
      </c>
      <c r="S4" s="16" t="s">
        <v>184</v>
      </c>
      <c r="T4" s="16" t="s">
        <v>178</v>
      </c>
      <c r="U4" s="16" t="s">
        <v>179</v>
      </c>
      <c r="V4" s="16" t="s">
        <v>180</v>
      </c>
      <c r="W4" s="16" t="s">
        <v>167</v>
      </c>
      <c r="X4" s="16" t="s">
        <v>184</v>
      </c>
      <c r="Y4" s="16" t="s">
        <v>178</v>
      </c>
      <c r="Z4" s="16" t="s">
        <v>179</v>
      </c>
      <c r="AA4" s="16" t="s">
        <v>180</v>
      </c>
    </row>
    <row r="5" customFormat="false" ht="15" hidden="false" customHeight="false" outlineLevel="0" collapsed="false">
      <c r="A5" s="43" t="n">
        <v>0</v>
      </c>
      <c r="B5" s="41"/>
      <c r="C5" s="40"/>
      <c r="D5" s="40" t="n">
        <v>0</v>
      </c>
      <c r="E5" s="41"/>
      <c r="F5" s="41" t="n">
        <v>0</v>
      </c>
      <c r="G5" s="43"/>
      <c r="H5" s="40"/>
      <c r="I5" s="40" t="n">
        <v>0</v>
      </c>
      <c r="J5" s="41"/>
      <c r="K5" s="41" t="n">
        <v>0</v>
      </c>
      <c r="L5" s="43"/>
      <c r="M5" s="40"/>
      <c r="N5" s="40" t="n">
        <v>0</v>
      </c>
      <c r="O5" s="41"/>
      <c r="P5" s="41" t="n">
        <v>0</v>
      </c>
      <c r="Q5" s="43"/>
      <c r="R5" s="40"/>
      <c r="S5" s="40" t="n">
        <v>0</v>
      </c>
      <c r="T5" s="41"/>
      <c r="U5" s="41" t="n">
        <v>0</v>
      </c>
      <c r="V5" s="43"/>
      <c r="W5" s="40"/>
      <c r="X5" s="40" t="n">
        <v>0</v>
      </c>
      <c r="Y5" s="41"/>
      <c r="Z5" s="41" t="n">
        <v>0</v>
      </c>
      <c r="AA5" s="43"/>
    </row>
    <row r="6" customFormat="false" ht="15" hidden="false" customHeight="false" outlineLevel="0" collapsed="false">
      <c r="A6" s="43" t="n">
        <v>1</v>
      </c>
      <c r="B6" s="41" t="n">
        <f aca="false">SUMIF(Assumptions!$B$33:$B$38,A6,Assumptions!$C$33:$C$38)</f>
        <v>3000</v>
      </c>
      <c r="C6" s="40" t="n">
        <f aca="false">IF($A6=Assumptions!$B$22,Assumptions!$B$21,IF($A6&lt;Assumptions!$B$24,0,IF($A6&lt;=Assumptions!$B$26,Assumptions!$B$25,IF($A6&lt;=Assumptions!$B$28,Assumptions!$B$27,Assumptions!$B$29))*Assumptions!$C$14))</f>
        <v>0</v>
      </c>
      <c r="D6" s="40" t="n">
        <f aca="false">D5*(1-Assumptions!$C$12)+C6</f>
        <v>0</v>
      </c>
      <c r="E6" s="41" t="n">
        <f aca="false">D6*Assumptions!$C$10*Assumptions!$C$11+IF($A6=Assumptions!$B$22,Assumptions!$B$21*Assumptions!$B$23,0)-Assumptions!$C$18-C6*Assumptions!$C$13-$B6</f>
        <v>-8500</v>
      </c>
      <c r="F6" s="41" t="n">
        <f aca="false">F5+E6</f>
        <v>-8500</v>
      </c>
      <c r="G6" s="43" t="n">
        <f aca="false">IF(AND($A6&gt;=Assumptions!$B$24,E6&gt;=0),1,0)</f>
        <v>0</v>
      </c>
      <c r="H6" s="40" t="n">
        <f aca="false">IF($A6=Assumptions!$B$22,Assumptions!$B$21,IF($A6&lt;Assumptions!$B$24,0,IF($A6&lt;=Assumptions!$B$26,Assumptions!$B$25,IF($A6&lt;=Assumptions!$B$28,Assumptions!$B$27,Assumptions!$B$29))*Assumptions!$D$14))</f>
        <v>0</v>
      </c>
      <c r="I6" s="40" t="n">
        <f aca="false">I5*(1-Assumptions!$D$12)+H6</f>
        <v>0</v>
      </c>
      <c r="J6" s="41" t="n">
        <f aca="false">I6*Assumptions!$D$10*Assumptions!$D$11+IF($A6=Assumptions!$B$22,Assumptions!$B$21*Assumptions!$B$23,0)-Assumptions!$D$18-H6*Assumptions!$D$13-$B6</f>
        <v>-8500</v>
      </c>
      <c r="K6" s="41" t="n">
        <f aca="false">K5+J6</f>
        <v>-8500</v>
      </c>
      <c r="L6" s="43" t="n">
        <f aca="false">IF(AND($A6&gt;=Assumptions!$B$24,J6&gt;=0),1,0)</f>
        <v>0</v>
      </c>
      <c r="M6" s="40" t="n">
        <f aca="false">IF($A6=Assumptions!$B$22,Assumptions!$B$21,IF($A6&lt;Assumptions!$B$24,0,IF($A6&lt;=Assumptions!$B$26,Assumptions!$B$25,IF($A6&lt;=Assumptions!$B$28,Assumptions!$B$27,Assumptions!$B$29))*Assumptions!$E$14))</f>
        <v>0</v>
      </c>
      <c r="N6" s="40" t="n">
        <f aca="false">N5*(1-Assumptions!$E$12)+M6</f>
        <v>0</v>
      </c>
      <c r="O6" s="41" t="n">
        <f aca="false">N6*Assumptions!$E$10*Assumptions!$E$11+IF($A6=Assumptions!$B$22,Assumptions!$B$21*Assumptions!$B$23,0)-Assumptions!$E$18-M6*Assumptions!$E$13-$B6</f>
        <v>-8500</v>
      </c>
      <c r="P6" s="41" t="n">
        <f aca="false">P5+O6</f>
        <v>-8500</v>
      </c>
      <c r="Q6" s="43" t="n">
        <f aca="false">IF(AND($A6&gt;=Assumptions!$B$24,O6&gt;=0),1,0)</f>
        <v>0</v>
      </c>
      <c r="R6" s="40" t="n">
        <f aca="false">IF($A6=Assumptions!$B$22,Assumptions!$B$21,IF($A6&lt;Assumptions!$B$24,0,IF($A6&lt;=Assumptions!$B$26,Assumptions!$B$25,IF($A6&lt;=Assumptions!$B$28,Assumptions!$B$27,Assumptions!$B$29))*Assumptions!$F$14))</f>
        <v>0</v>
      </c>
      <c r="S6" s="40" t="n">
        <f aca="false">S5*(1-Assumptions!$F$12)+R6</f>
        <v>0</v>
      </c>
      <c r="T6" s="41" t="n">
        <f aca="false">S6*Assumptions!$F$10*Assumptions!$F$11+IF($A6=Assumptions!$B$22,Assumptions!$B$21*Assumptions!$B$23,0)-Assumptions!$F$18-R6*Assumptions!$F$13-$B6</f>
        <v>-4500</v>
      </c>
      <c r="U6" s="41" t="n">
        <f aca="false">U5+T6</f>
        <v>-4500</v>
      </c>
      <c r="V6" s="43" t="n">
        <f aca="false">IF(AND($A6&gt;=Assumptions!$B$24,T6&gt;=0),1,0)</f>
        <v>0</v>
      </c>
      <c r="W6" s="40" t="n">
        <f aca="false">IF($A6=Assumptions!$B$22,Assumptions!$B$21,IF($A6&lt;Assumptions!$B$24,0,IF($A6&lt;=Assumptions!$B$26,Assumptions!$B$25,IF($A6&lt;=Assumptions!$B$28,Assumptions!$B$27,Assumptions!$B$29))*Assumptions!$G$14))</f>
        <v>0</v>
      </c>
      <c r="X6" s="40" t="n">
        <f aca="false">X5*(1-Assumptions!$G$12)+W6</f>
        <v>0</v>
      </c>
      <c r="Y6" s="41" t="n">
        <f aca="false">X6*Assumptions!$G$10*Assumptions!$G$11+IF($A6=Assumptions!$B$22,Assumptions!$B$21*Assumptions!$B$23,0)-Assumptions!$G$18-W6*Assumptions!$G$13-$B6</f>
        <v>-8500</v>
      </c>
      <c r="Z6" s="41" t="n">
        <f aca="false">Z5+Y6</f>
        <v>-8500</v>
      </c>
      <c r="AA6" s="43" t="n">
        <f aca="false">IF(AND($A6&gt;=Assumptions!$B$24,Y6&gt;=0),1,0)</f>
        <v>0</v>
      </c>
    </row>
    <row r="7" customFormat="false" ht="15" hidden="false" customHeight="false" outlineLevel="0" collapsed="false">
      <c r="A7" s="43" t="n">
        <v>2</v>
      </c>
      <c r="B7" s="41" t="n">
        <f aca="false">SUMIF(Assumptions!$B$33:$B$38,A7,Assumptions!$C$33:$C$38)</f>
        <v>0</v>
      </c>
      <c r="C7" s="40" t="n">
        <f aca="false">IF($A7=Assumptions!$B$22,Assumptions!$B$21,IF($A7&lt;Assumptions!$B$24,0,IF($A7&lt;=Assumptions!$B$26,Assumptions!$B$25,IF($A7&lt;=Assumptions!$B$28,Assumptions!$B$27,Assumptions!$B$29))*Assumptions!$C$14))</f>
        <v>0</v>
      </c>
      <c r="D7" s="40" t="n">
        <f aca="false">D6*(1-Assumptions!$C$12)+C7</f>
        <v>0</v>
      </c>
      <c r="E7" s="41" t="n">
        <f aca="false">D7*Assumptions!$C$10*Assumptions!$C$11+IF($A7=Assumptions!$B$22,Assumptions!$B$21*Assumptions!$B$23,0)-Assumptions!$C$18-C7*Assumptions!$C$13-$B7</f>
        <v>-5500</v>
      </c>
      <c r="F7" s="41" t="n">
        <f aca="false">F6+E7</f>
        <v>-14000</v>
      </c>
      <c r="G7" s="43" t="n">
        <f aca="false">IF(AND($A7&gt;=Assumptions!$B$24,E7&gt;=0),1,0)</f>
        <v>0</v>
      </c>
      <c r="H7" s="40" t="n">
        <f aca="false">IF($A7=Assumptions!$B$22,Assumptions!$B$21,IF($A7&lt;Assumptions!$B$24,0,IF($A7&lt;=Assumptions!$B$26,Assumptions!$B$25,IF($A7&lt;=Assumptions!$B$28,Assumptions!$B$27,Assumptions!$B$29))*Assumptions!$D$14))</f>
        <v>0</v>
      </c>
      <c r="I7" s="40" t="n">
        <f aca="false">I6*(1-Assumptions!$D$12)+H7</f>
        <v>0</v>
      </c>
      <c r="J7" s="41" t="n">
        <f aca="false">I7*Assumptions!$D$10*Assumptions!$D$11+IF($A7=Assumptions!$B$22,Assumptions!$B$21*Assumptions!$B$23,0)-Assumptions!$D$18-H7*Assumptions!$D$13-$B7</f>
        <v>-5500</v>
      </c>
      <c r="K7" s="41" t="n">
        <f aca="false">K6+J7</f>
        <v>-14000</v>
      </c>
      <c r="L7" s="43" t="n">
        <f aca="false">IF(AND($A7&gt;=Assumptions!$B$24,J7&gt;=0),1,0)</f>
        <v>0</v>
      </c>
      <c r="M7" s="40" t="n">
        <f aca="false">IF($A7=Assumptions!$B$22,Assumptions!$B$21,IF($A7&lt;Assumptions!$B$24,0,IF($A7&lt;=Assumptions!$B$26,Assumptions!$B$25,IF($A7&lt;=Assumptions!$B$28,Assumptions!$B$27,Assumptions!$B$29))*Assumptions!$E$14))</f>
        <v>0</v>
      </c>
      <c r="N7" s="40" t="n">
        <f aca="false">N6*(1-Assumptions!$E$12)+M7</f>
        <v>0</v>
      </c>
      <c r="O7" s="41" t="n">
        <f aca="false">N7*Assumptions!$E$10*Assumptions!$E$11+IF($A7=Assumptions!$B$22,Assumptions!$B$21*Assumptions!$B$23,0)-Assumptions!$E$18-M7*Assumptions!$E$13-$B7</f>
        <v>-5500</v>
      </c>
      <c r="P7" s="41" t="n">
        <f aca="false">P6+O7</f>
        <v>-14000</v>
      </c>
      <c r="Q7" s="43" t="n">
        <f aca="false">IF(AND($A7&gt;=Assumptions!$B$24,O7&gt;=0),1,0)</f>
        <v>0</v>
      </c>
      <c r="R7" s="40" t="n">
        <f aca="false">IF($A7=Assumptions!$B$22,Assumptions!$B$21,IF($A7&lt;Assumptions!$B$24,0,IF($A7&lt;=Assumptions!$B$26,Assumptions!$B$25,IF($A7&lt;=Assumptions!$B$28,Assumptions!$B$27,Assumptions!$B$29))*Assumptions!$F$14))</f>
        <v>0</v>
      </c>
      <c r="S7" s="40" t="n">
        <f aca="false">S6*(1-Assumptions!$F$12)+R7</f>
        <v>0</v>
      </c>
      <c r="T7" s="41" t="n">
        <f aca="false">S7*Assumptions!$F$10*Assumptions!$F$11+IF($A7=Assumptions!$B$22,Assumptions!$B$21*Assumptions!$B$23,0)-Assumptions!$F$18-R7*Assumptions!$F$13-$B7</f>
        <v>-1500</v>
      </c>
      <c r="U7" s="41" t="n">
        <f aca="false">U6+T7</f>
        <v>-6000</v>
      </c>
      <c r="V7" s="43" t="n">
        <f aca="false">IF(AND($A7&gt;=Assumptions!$B$24,T7&gt;=0),1,0)</f>
        <v>0</v>
      </c>
      <c r="W7" s="40" t="n">
        <f aca="false">IF($A7=Assumptions!$B$22,Assumptions!$B$21,IF($A7&lt;Assumptions!$B$24,0,IF($A7&lt;=Assumptions!$B$26,Assumptions!$B$25,IF($A7&lt;=Assumptions!$B$28,Assumptions!$B$27,Assumptions!$B$29))*Assumptions!$G$14))</f>
        <v>0</v>
      </c>
      <c r="X7" s="40" t="n">
        <f aca="false">X6*(1-Assumptions!$G$12)+W7</f>
        <v>0</v>
      </c>
      <c r="Y7" s="41" t="n">
        <f aca="false">X7*Assumptions!$G$10*Assumptions!$G$11+IF($A7=Assumptions!$B$22,Assumptions!$B$21*Assumptions!$B$23,0)-Assumptions!$G$18-W7*Assumptions!$G$13-$B7</f>
        <v>-5500</v>
      </c>
      <c r="Z7" s="41" t="n">
        <f aca="false">Z6+Y7</f>
        <v>-14000</v>
      </c>
      <c r="AA7" s="43" t="n">
        <f aca="false">IF(AND($A7&gt;=Assumptions!$B$24,Y7&gt;=0),1,0)</f>
        <v>0</v>
      </c>
    </row>
    <row r="8" customFormat="false" ht="15" hidden="false" customHeight="false" outlineLevel="0" collapsed="false">
      <c r="A8" s="43" t="n">
        <v>3</v>
      </c>
      <c r="B8" s="41" t="n">
        <f aca="false">SUMIF(Assumptions!$B$33:$B$38,A8,Assumptions!$C$33:$C$38)</f>
        <v>0</v>
      </c>
      <c r="C8" s="40" t="n">
        <f aca="false">IF($A8=Assumptions!$B$22,Assumptions!$B$21,IF($A8&lt;Assumptions!$B$24,0,IF($A8&lt;=Assumptions!$B$26,Assumptions!$B$25,IF($A8&lt;=Assumptions!$B$28,Assumptions!$B$27,Assumptions!$B$29))*Assumptions!$C$14))</f>
        <v>0</v>
      </c>
      <c r="D8" s="40" t="n">
        <f aca="false">D7*(1-Assumptions!$C$12)+C8</f>
        <v>0</v>
      </c>
      <c r="E8" s="41" t="n">
        <f aca="false">D8*Assumptions!$C$10*Assumptions!$C$11+IF($A8=Assumptions!$B$22,Assumptions!$B$21*Assumptions!$B$23,0)-Assumptions!$C$18-C8*Assumptions!$C$13-$B8</f>
        <v>-5500</v>
      </c>
      <c r="F8" s="41" t="n">
        <f aca="false">F7+E8</f>
        <v>-19500</v>
      </c>
      <c r="G8" s="43" t="n">
        <f aca="false">IF(AND($A8&gt;=Assumptions!$B$24,E8&gt;=0),1,0)</f>
        <v>0</v>
      </c>
      <c r="H8" s="40" t="n">
        <f aca="false">IF($A8=Assumptions!$B$22,Assumptions!$B$21,IF($A8&lt;Assumptions!$B$24,0,IF($A8&lt;=Assumptions!$B$26,Assumptions!$B$25,IF($A8&lt;=Assumptions!$B$28,Assumptions!$B$27,Assumptions!$B$29))*Assumptions!$D$14))</f>
        <v>0</v>
      </c>
      <c r="I8" s="40" t="n">
        <f aca="false">I7*(1-Assumptions!$D$12)+H8</f>
        <v>0</v>
      </c>
      <c r="J8" s="41" t="n">
        <f aca="false">I8*Assumptions!$D$10*Assumptions!$D$11+IF($A8=Assumptions!$B$22,Assumptions!$B$21*Assumptions!$B$23,0)-Assumptions!$D$18-H8*Assumptions!$D$13-$B8</f>
        <v>-5500</v>
      </c>
      <c r="K8" s="41" t="n">
        <f aca="false">K7+J8</f>
        <v>-19500</v>
      </c>
      <c r="L8" s="43" t="n">
        <f aca="false">IF(AND($A8&gt;=Assumptions!$B$24,J8&gt;=0),1,0)</f>
        <v>0</v>
      </c>
      <c r="M8" s="40" t="n">
        <f aca="false">IF($A8=Assumptions!$B$22,Assumptions!$B$21,IF($A8&lt;Assumptions!$B$24,0,IF($A8&lt;=Assumptions!$B$26,Assumptions!$B$25,IF($A8&lt;=Assumptions!$B$28,Assumptions!$B$27,Assumptions!$B$29))*Assumptions!$E$14))</f>
        <v>0</v>
      </c>
      <c r="N8" s="40" t="n">
        <f aca="false">N7*(1-Assumptions!$E$12)+M8</f>
        <v>0</v>
      </c>
      <c r="O8" s="41" t="n">
        <f aca="false">N8*Assumptions!$E$10*Assumptions!$E$11+IF($A8=Assumptions!$B$22,Assumptions!$B$21*Assumptions!$B$23,0)-Assumptions!$E$18-M8*Assumptions!$E$13-$B8</f>
        <v>-5500</v>
      </c>
      <c r="P8" s="41" t="n">
        <f aca="false">P7+O8</f>
        <v>-19500</v>
      </c>
      <c r="Q8" s="43" t="n">
        <f aca="false">IF(AND($A8&gt;=Assumptions!$B$24,O8&gt;=0),1,0)</f>
        <v>0</v>
      </c>
      <c r="R8" s="40" t="n">
        <f aca="false">IF($A8=Assumptions!$B$22,Assumptions!$B$21,IF($A8&lt;Assumptions!$B$24,0,IF($A8&lt;=Assumptions!$B$26,Assumptions!$B$25,IF($A8&lt;=Assumptions!$B$28,Assumptions!$B$27,Assumptions!$B$29))*Assumptions!$F$14))</f>
        <v>0</v>
      </c>
      <c r="S8" s="40" t="n">
        <f aca="false">S7*(1-Assumptions!$F$12)+R8</f>
        <v>0</v>
      </c>
      <c r="T8" s="41" t="n">
        <f aca="false">S8*Assumptions!$F$10*Assumptions!$F$11+IF($A8=Assumptions!$B$22,Assumptions!$B$21*Assumptions!$B$23,0)-Assumptions!$F$18-R8*Assumptions!$F$13-$B8</f>
        <v>-1500</v>
      </c>
      <c r="U8" s="41" t="n">
        <f aca="false">U7+T8</f>
        <v>-7500</v>
      </c>
      <c r="V8" s="43" t="n">
        <f aca="false">IF(AND($A8&gt;=Assumptions!$B$24,T8&gt;=0),1,0)</f>
        <v>0</v>
      </c>
      <c r="W8" s="40" t="n">
        <f aca="false">IF($A8=Assumptions!$B$22,Assumptions!$B$21,IF($A8&lt;Assumptions!$B$24,0,IF($A8&lt;=Assumptions!$B$26,Assumptions!$B$25,IF($A8&lt;=Assumptions!$B$28,Assumptions!$B$27,Assumptions!$B$29))*Assumptions!$G$14))</f>
        <v>0</v>
      </c>
      <c r="X8" s="40" t="n">
        <f aca="false">X7*(1-Assumptions!$G$12)+W8</f>
        <v>0</v>
      </c>
      <c r="Y8" s="41" t="n">
        <f aca="false">X8*Assumptions!$G$10*Assumptions!$G$11+IF($A8=Assumptions!$B$22,Assumptions!$B$21*Assumptions!$B$23,0)-Assumptions!$G$18-W8*Assumptions!$G$13-$B8</f>
        <v>-5500</v>
      </c>
      <c r="Z8" s="41" t="n">
        <f aca="false">Z7+Y8</f>
        <v>-19500</v>
      </c>
      <c r="AA8" s="43" t="n">
        <f aca="false">IF(AND($A8&gt;=Assumptions!$B$24,Y8&gt;=0),1,0)</f>
        <v>0</v>
      </c>
    </row>
    <row r="9" customFormat="false" ht="15" hidden="false" customHeight="false" outlineLevel="0" collapsed="false">
      <c r="A9" s="43" t="n">
        <v>4</v>
      </c>
      <c r="B9" s="41" t="n">
        <f aca="false">SUMIF(Assumptions!$B$33:$B$38,A9,Assumptions!$C$33:$C$38)</f>
        <v>0</v>
      </c>
      <c r="C9" s="40" t="n">
        <f aca="false">IF($A9=Assumptions!$B$22,Assumptions!$B$21,IF($A9&lt;Assumptions!$B$24,0,IF($A9&lt;=Assumptions!$B$26,Assumptions!$B$25,IF($A9&lt;=Assumptions!$B$28,Assumptions!$B$27,Assumptions!$B$29))*Assumptions!$C$14))</f>
        <v>0</v>
      </c>
      <c r="D9" s="40" t="n">
        <f aca="false">D8*(1-Assumptions!$C$12)+C9</f>
        <v>0</v>
      </c>
      <c r="E9" s="41" t="n">
        <f aca="false">D9*Assumptions!$C$10*Assumptions!$C$11+IF($A9=Assumptions!$B$22,Assumptions!$B$21*Assumptions!$B$23,0)-Assumptions!$C$18-C9*Assumptions!$C$13-$B9</f>
        <v>-5500</v>
      </c>
      <c r="F9" s="41" t="n">
        <f aca="false">F8+E9</f>
        <v>-25000</v>
      </c>
      <c r="G9" s="43" t="n">
        <f aca="false">IF(AND($A9&gt;=Assumptions!$B$24,E9&gt;=0),1,0)</f>
        <v>0</v>
      </c>
      <c r="H9" s="40" t="n">
        <f aca="false">IF($A9=Assumptions!$B$22,Assumptions!$B$21,IF($A9&lt;Assumptions!$B$24,0,IF($A9&lt;=Assumptions!$B$26,Assumptions!$B$25,IF($A9&lt;=Assumptions!$B$28,Assumptions!$B$27,Assumptions!$B$29))*Assumptions!$D$14))</f>
        <v>0</v>
      </c>
      <c r="I9" s="40" t="n">
        <f aca="false">I8*(1-Assumptions!$D$12)+H9</f>
        <v>0</v>
      </c>
      <c r="J9" s="41" t="n">
        <f aca="false">I9*Assumptions!$D$10*Assumptions!$D$11+IF($A9=Assumptions!$B$22,Assumptions!$B$21*Assumptions!$B$23,0)-Assumptions!$D$18-H9*Assumptions!$D$13-$B9</f>
        <v>-5500</v>
      </c>
      <c r="K9" s="41" t="n">
        <f aca="false">K8+J9</f>
        <v>-25000</v>
      </c>
      <c r="L9" s="43" t="n">
        <f aca="false">IF(AND($A9&gt;=Assumptions!$B$24,J9&gt;=0),1,0)</f>
        <v>0</v>
      </c>
      <c r="M9" s="40" t="n">
        <f aca="false">IF($A9=Assumptions!$B$22,Assumptions!$B$21,IF($A9&lt;Assumptions!$B$24,0,IF($A9&lt;=Assumptions!$B$26,Assumptions!$B$25,IF($A9&lt;=Assumptions!$B$28,Assumptions!$B$27,Assumptions!$B$29))*Assumptions!$E$14))</f>
        <v>0</v>
      </c>
      <c r="N9" s="40" t="n">
        <f aca="false">N8*(1-Assumptions!$E$12)+M9</f>
        <v>0</v>
      </c>
      <c r="O9" s="41" t="n">
        <f aca="false">N9*Assumptions!$E$10*Assumptions!$E$11+IF($A9=Assumptions!$B$22,Assumptions!$B$21*Assumptions!$B$23,0)-Assumptions!$E$18-M9*Assumptions!$E$13-$B9</f>
        <v>-5500</v>
      </c>
      <c r="P9" s="41" t="n">
        <f aca="false">P8+O9</f>
        <v>-25000</v>
      </c>
      <c r="Q9" s="43" t="n">
        <f aca="false">IF(AND($A9&gt;=Assumptions!$B$24,O9&gt;=0),1,0)</f>
        <v>0</v>
      </c>
      <c r="R9" s="40" t="n">
        <f aca="false">IF($A9=Assumptions!$B$22,Assumptions!$B$21,IF($A9&lt;Assumptions!$B$24,0,IF($A9&lt;=Assumptions!$B$26,Assumptions!$B$25,IF($A9&lt;=Assumptions!$B$28,Assumptions!$B$27,Assumptions!$B$29))*Assumptions!$F$14))</f>
        <v>0</v>
      </c>
      <c r="S9" s="40" t="n">
        <f aca="false">S8*(1-Assumptions!$F$12)+R9</f>
        <v>0</v>
      </c>
      <c r="T9" s="41" t="n">
        <f aca="false">S9*Assumptions!$F$10*Assumptions!$F$11+IF($A9=Assumptions!$B$22,Assumptions!$B$21*Assumptions!$B$23,0)-Assumptions!$F$18-R9*Assumptions!$F$13-$B9</f>
        <v>-1500</v>
      </c>
      <c r="U9" s="41" t="n">
        <f aca="false">U8+T9</f>
        <v>-9000</v>
      </c>
      <c r="V9" s="43" t="n">
        <f aca="false">IF(AND($A9&gt;=Assumptions!$B$24,T9&gt;=0),1,0)</f>
        <v>0</v>
      </c>
      <c r="W9" s="40" t="n">
        <f aca="false">IF($A9=Assumptions!$B$22,Assumptions!$B$21,IF($A9&lt;Assumptions!$B$24,0,IF($A9&lt;=Assumptions!$B$26,Assumptions!$B$25,IF($A9&lt;=Assumptions!$B$28,Assumptions!$B$27,Assumptions!$B$29))*Assumptions!$G$14))</f>
        <v>0</v>
      </c>
      <c r="X9" s="40" t="n">
        <f aca="false">X8*(1-Assumptions!$G$12)+W9</f>
        <v>0</v>
      </c>
      <c r="Y9" s="41" t="n">
        <f aca="false">X9*Assumptions!$G$10*Assumptions!$G$11+IF($A9=Assumptions!$B$22,Assumptions!$B$21*Assumptions!$B$23,0)-Assumptions!$G$18-W9*Assumptions!$G$13-$B9</f>
        <v>-5500</v>
      </c>
      <c r="Z9" s="41" t="n">
        <f aca="false">Z8+Y9</f>
        <v>-25000</v>
      </c>
      <c r="AA9" s="43" t="n">
        <f aca="false">IF(AND($A9&gt;=Assumptions!$B$24,Y9&gt;=0),1,0)</f>
        <v>0</v>
      </c>
    </row>
    <row r="10" customFormat="false" ht="15" hidden="false" customHeight="false" outlineLevel="0" collapsed="false">
      <c r="A10" s="43" t="n">
        <v>5</v>
      </c>
      <c r="B10" s="41" t="n">
        <f aca="false">SUMIF(Assumptions!$B$33:$B$38,A10,Assumptions!$C$33:$C$38)</f>
        <v>0</v>
      </c>
      <c r="C10" s="40" t="n">
        <f aca="false">IF($A10=Assumptions!$B$22,Assumptions!$B$21,IF($A10&lt;Assumptions!$B$24,0,IF($A10&lt;=Assumptions!$B$26,Assumptions!$B$25,IF($A10&lt;=Assumptions!$B$28,Assumptions!$B$27,Assumptions!$B$29))*Assumptions!$C$14))</f>
        <v>6</v>
      </c>
      <c r="D10" s="40" t="n">
        <f aca="false">D9*(1-Assumptions!$C$12)+C10</f>
        <v>6</v>
      </c>
      <c r="E10" s="41" t="n">
        <f aca="false">D10*Assumptions!$C$10*Assumptions!$C$11+IF($A10=Assumptions!$B$22,Assumptions!$B$21*Assumptions!$B$23,0)-Assumptions!$C$18-C10*Assumptions!$C$13-$B10</f>
        <v>-5920</v>
      </c>
      <c r="F10" s="41" t="n">
        <f aca="false">F9+E10</f>
        <v>-30920</v>
      </c>
      <c r="G10" s="43" t="n">
        <f aca="false">IF(AND($A10&gt;=Assumptions!$B$24,E10&gt;=0),1,0)</f>
        <v>0</v>
      </c>
      <c r="H10" s="40" t="n">
        <f aca="false">IF($A10=Assumptions!$B$22,Assumptions!$B$21,IF($A10&lt;Assumptions!$B$24,0,IF($A10&lt;=Assumptions!$B$26,Assumptions!$B$25,IF($A10&lt;=Assumptions!$B$28,Assumptions!$B$27,Assumptions!$B$29))*Assumptions!$D$14))</f>
        <v>6</v>
      </c>
      <c r="I10" s="40" t="n">
        <f aca="false">I9*(1-Assumptions!$D$12)+H10</f>
        <v>6</v>
      </c>
      <c r="J10" s="41" t="n">
        <f aca="false">I10*Assumptions!$D$10*Assumptions!$D$11+IF($A10=Assumptions!$B$22,Assumptions!$B$21*Assumptions!$B$23,0)-Assumptions!$D$18-H10*Assumptions!$D$13-$B10</f>
        <v>-4975</v>
      </c>
      <c r="K10" s="41" t="n">
        <f aca="false">K9+J10</f>
        <v>-29975</v>
      </c>
      <c r="L10" s="43" t="n">
        <f aca="false">IF(AND($A10&gt;=Assumptions!$B$24,J10&gt;=0),1,0)</f>
        <v>0</v>
      </c>
      <c r="M10" s="40" t="n">
        <f aca="false">IF($A10=Assumptions!$B$22,Assumptions!$B$21,IF($A10&lt;Assumptions!$B$24,0,IF($A10&lt;=Assumptions!$B$26,Assumptions!$B$25,IF($A10&lt;=Assumptions!$B$28,Assumptions!$B$27,Assumptions!$B$29))*Assumptions!$E$14))</f>
        <v>6</v>
      </c>
      <c r="N10" s="40" t="n">
        <f aca="false">N9*(1-Assumptions!$E$12)+M10</f>
        <v>6</v>
      </c>
      <c r="O10" s="41" t="n">
        <f aca="false">N10*Assumptions!$E$10*Assumptions!$E$11+IF($A10=Assumptions!$B$22,Assumptions!$B$21*Assumptions!$B$23,0)-Assumptions!$E$18-M10*Assumptions!$E$13-$B10</f>
        <v>-4885</v>
      </c>
      <c r="P10" s="41" t="n">
        <f aca="false">P9+O10</f>
        <v>-29885</v>
      </c>
      <c r="Q10" s="43" t="n">
        <f aca="false">IF(AND($A10&gt;=Assumptions!$B$24,O10&gt;=0),1,0)</f>
        <v>0</v>
      </c>
      <c r="R10" s="40" t="n">
        <f aca="false">IF($A10=Assumptions!$B$22,Assumptions!$B$21,IF($A10&lt;Assumptions!$B$24,0,IF($A10&lt;=Assumptions!$B$26,Assumptions!$B$25,IF($A10&lt;=Assumptions!$B$28,Assumptions!$B$27,Assumptions!$B$29))*Assumptions!$F$14))</f>
        <v>6</v>
      </c>
      <c r="S10" s="40" t="n">
        <f aca="false">S9*(1-Assumptions!$F$12)+R10</f>
        <v>6</v>
      </c>
      <c r="T10" s="41" t="n">
        <f aca="false">S10*Assumptions!$F$10*Assumptions!$F$11+IF($A10=Assumptions!$B$22,Assumptions!$B$21*Assumptions!$B$23,0)-Assumptions!$F$18-R10*Assumptions!$F$13-$B10</f>
        <v>-975</v>
      </c>
      <c r="U10" s="41" t="n">
        <f aca="false">U9+T10</f>
        <v>-9975</v>
      </c>
      <c r="V10" s="43" t="n">
        <f aca="false">IF(AND($A10&gt;=Assumptions!$B$24,T10&gt;=0),1,0)</f>
        <v>0</v>
      </c>
      <c r="W10" s="40" t="n">
        <f aca="false">IF($A10=Assumptions!$B$22,Assumptions!$B$21,IF($A10&lt;Assumptions!$B$24,0,IF($A10&lt;=Assumptions!$B$26,Assumptions!$B$25,IF($A10&lt;=Assumptions!$B$28,Assumptions!$B$27,Assumptions!$B$29))*Assumptions!$G$14))</f>
        <v>6</v>
      </c>
      <c r="X10" s="40" t="n">
        <f aca="false">X9*(1-Assumptions!$G$12)+W10</f>
        <v>6</v>
      </c>
      <c r="Y10" s="41" t="n">
        <f aca="false">X10*Assumptions!$G$10*Assumptions!$G$11+IF($A10=Assumptions!$B$22,Assumptions!$B$21*Assumptions!$B$23,0)-Assumptions!$G$18-W10*Assumptions!$G$13-$B10</f>
        <v>-4975</v>
      </c>
      <c r="Z10" s="41" t="n">
        <f aca="false">Z9+Y10</f>
        <v>-29975</v>
      </c>
      <c r="AA10" s="43" t="n">
        <f aca="false">IF(AND($A10&gt;=Assumptions!$B$24,Y10&gt;=0),1,0)</f>
        <v>0</v>
      </c>
    </row>
    <row r="11" customFormat="false" ht="15" hidden="false" customHeight="false" outlineLevel="0" collapsed="false">
      <c r="A11" s="43" t="n">
        <v>6</v>
      </c>
      <c r="B11" s="41" t="n">
        <f aca="false">SUMIF(Assumptions!$B$33:$B$38,A11,Assumptions!$C$33:$C$38)</f>
        <v>0</v>
      </c>
      <c r="C11" s="40" t="n">
        <f aca="false">IF($A11=Assumptions!$B$22,Assumptions!$B$21,IF($A11&lt;Assumptions!$B$24,0,IF($A11&lt;=Assumptions!$B$26,Assumptions!$B$25,IF($A11&lt;=Assumptions!$B$28,Assumptions!$B$27,Assumptions!$B$29))*Assumptions!$C$14))</f>
        <v>0</v>
      </c>
      <c r="D11" s="40" t="n">
        <f aca="false">D10*(1-Assumptions!$C$12)+C11</f>
        <v>5.7</v>
      </c>
      <c r="E11" s="41" t="n">
        <f aca="false">D11*Assumptions!$C$10*Assumptions!$C$11+IF($A11=Assumptions!$B$22,Assumptions!$B$21*Assumptions!$B$23,0)-Assumptions!$C$18-C11*Assumptions!$C$13-$B11</f>
        <v>-5329</v>
      </c>
      <c r="F11" s="41" t="n">
        <f aca="false">F10+E11</f>
        <v>-36249</v>
      </c>
      <c r="G11" s="43" t="n">
        <f aca="false">IF(AND($A11&gt;=Assumptions!$B$24,E11&gt;=0),1,0)</f>
        <v>0</v>
      </c>
      <c r="H11" s="40" t="n">
        <f aca="false">IF($A11=Assumptions!$B$22,Assumptions!$B$21,IF($A11&lt;Assumptions!$B$24,0,IF($A11&lt;=Assumptions!$B$26,Assumptions!$B$25,IF($A11&lt;=Assumptions!$B$28,Assumptions!$B$27,Assumptions!$B$29))*Assumptions!$D$14))</f>
        <v>0</v>
      </c>
      <c r="I11" s="40" t="n">
        <f aca="false">I10*(1-Assumptions!$D$12)+H11</f>
        <v>5.82</v>
      </c>
      <c r="J11" s="41" t="n">
        <f aca="false">I11*Assumptions!$D$10*Assumptions!$D$11+IF($A11=Assumptions!$B$22,Assumptions!$B$21*Assumptions!$B$23,0)-Assumptions!$D$18-H11*Assumptions!$D$13-$B11</f>
        <v>-5281.75</v>
      </c>
      <c r="K11" s="41" t="n">
        <f aca="false">K10+J11</f>
        <v>-35256.75</v>
      </c>
      <c r="L11" s="43" t="n">
        <f aca="false">IF(AND($A11&gt;=Assumptions!$B$24,J11&gt;=0),1,0)</f>
        <v>0</v>
      </c>
      <c r="M11" s="40" t="n">
        <f aca="false">IF($A11=Assumptions!$B$22,Assumptions!$B$21,IF($A11&lt;Assumptions!$B$24,0,IF($A11&lt;=Assumptions!$B$26,Assumptions!$B$25,IF($A11&lt;=Assumptions!$B$28,Assumptions!$B$27,Assumptions!$B$29))*Assumptions!$E$14))</f>
        <v>0</v>
      </c>
      <c r="N11" s="40" t="n">
        <f aca="false">N10*(1-Assumptions!$E$12)+M11</f>
        <v>5.88</v>
      </c>
      <c r="O11" s="41" t="n">
        <f aca="false">N11*Assumptions!$E$10*Assumptions!$E$11+IF($A11=Assumptions!$B$22,Assumptions!$B$21*Assumptions!$B$23,0)-Assumptions!$E$18-M11*Assumptions!$E$13-$B11</f>
        <v>-5191.3</v>
      </c>
      <c r="P11" s="41" t="n">
        <f aca="false">P10+O11</f>
        <v>-35076.3</v>
      </c>
      <c r="Q11" s="43" t="n">
        <f aca="false">IF(AND($A11&gt;=Assumptions!$B$24,O11&gt;=0),1,0)</f>
        <v>0</v>
      </c>
      <c r="R11" s="40" t="n">
        <f aca="false">IF($A11=Assumptions!$B$22,Assumptions!$B$21,IF($A11&lt;Assumptions!$B$24,0,IF($A11&lt;=Assumptions!$B$26,Assumptions!$B$25,IF($A11&lt;=Assumptions!$B$28,Assumptions!$B$27,Assumptions!$B$29))*Assumptions!$F$14))</f>
        <v>0</v>
      </c>
      <c r="S11" s="40" t="n">
        <f aca="false">S10*(1-Assumptions!$F$12)+R11</f>
        <v>5.82</v>
      </c>
      <c r="T11" s="41" t="n">
        <f aca="false">S11*Assumptions!$F$10*Assumptions!$F$11+IF($A11=Assumptions!$B$22,Assumptions!$B$21*Assumptions!$B$23,0)-Assumptions!$F$18-R11*Assumptions!$F$13-$B11</f>
        <v>-1281.75</v>
      </c>
      <c r="U11" s="41" t="n">
        <f aca="false">U10+T11</f>
        <v>-11256.75</v>
      </c>
      <c r="V11" s="43" t="n">
        <f aca="false">IF(AND($A11&gt;=Assumptions!$B$24,T11&gt;=0),1,0)</f>
        <v>0</v>
      </c>
      <c r="W11" s="40" t="n">
        <f aca="false">IF($A11=Assumptions!$B$22,Assumptions!$B$21,IF($A11&lt;Assumptions!$B$24,0,IF($A11&lt;=Assumptions!$B$26,Assumptions!$B$25,IF($A11&lt;=Assumptions!$B$28,Assumptions!$B$27,Assumptions!$B$29))*Assumptions!$G$14))</f>
        <v>0</v>
      </c>
      <c r="X11" s="40" t="n">
        <f aca="false">X10*(1-Assumptions!$G$12)+W11</f>
        <v>5.82</v>
      </c>
      <c r="Y11" s="41" t="n">
        <f aca="false">X11*Assumptions!$G$10*Assumptions!$G$11+IF($A11=Assumptions!$B$22,Assumptions!$B$21*Assumptions!$B$23,0)-Assumptions!$G$18-W11*Assumptions!$G$13-$B11</f>
        <v>-5281.75</v>
      </c>
      <c r="Z11" s="41" t="n">
        <f aca="false">Z10+Y11</f>
        <v>-35256.75</v>
      </c>
      <c r="AA11" s="43" t="n">
        <f aca="false">IF(AND($A11&gt;=Assumptions!$B$24,Y11&gt;=0),1,0)</f>
        <v>0</v>
      </c>
    </row>
    <row r="12" customFormat="false" ht="15" hidden="false" customHeight="false" outlineLevel="0" collapsed="false">
      <c r="A12" s="43" t="n">
        <v>7</v>
      </c>
      <c r="B12" s="41" t="n">
        <f aca="false">SUMIF(Assumptions!$B$33:$B$38,A12,Assumptions!$C$33:$C$38)</f>
        <v>0</v>
      </c>
      <c r="C12" s="40" t="n">
        <f aca="false">IF($A12=Assumptions!$B$22,Assumptions!$B$21,IF($A12&lt;Assumptions!$B$24,0,IF($A12&lt;=Assumptions!$B$26,Assumptions!$B$25,IF($A12&lt;=Assumptions!$B$28,Assumptions!$B$27,Assumptions!$B$29))*Assumptions!$C$14))</f>
        <v>2</v>
      </c>
      <c r="D12" s="40" t="n">
        <f aca="false">D11*(1-Assumptions!$C$12)+C12</f>
        <v>7.415</v>
      </c>
      <c r="E12" s="41" t="n">
        <f aca="false">D12*Assumptions!$C$10*Assumptions!$C$11+IF($A12=Assumptions!$B$22,Assumptions!$B$21*Assumptions!$B$23,0)-Assumptions!$C$18-C12*Assumptions!$C$13-$B12</f>
        <v>-6077.55</v>
      </c>
      <c r="F12" s="41" t="n">
        <f aca="false">F11+E12</f>
        <v>-42326.55</v>
      </c>
      <c r="G12" s="43" t="n">
        <f aca="false">IF(AND($A12&gt;=Assumptions!$B$24,E12&gt;=0),1,0)</f>
        <v>0</v>
      </c>
      <c r="H12" s="40" t="n">
        <f aca="false">IF($A12=Assumptions!$B$22,Assumptions!$B$21,IF($A12&lt;Assumptions!$B$24,0,IF($A12&lt;=Assumptions!$B$26,Assumptions!$B$25,IF($A12&lt;=Assumptions!$B$28,Assumptions!$B$27,Assumptions!$B$29))*Assumptions!$D$14))</f>
        <v>4</v>
      </c>
      <c r="I12" s="40" t="n">
        <f aca="false">I11*(1-Assumptions!$D$12)+H12</f>
        <v>9.6454</v>
      </c>
      <c r="J12" s="41" t="n">
        <f aca="false">I12*Assumptions!$D$10*Assumptions!$D$11+IF($A12=Assumptions!$B$22,Assumptions!$B$21*Assumptions!$B$23,0)-Assumptions!$D$18-H12*Assumptions!$D$13-$B12</f>
        <v>-6138.2975</v>
      </c>
      <c r="K12" s="41" t="n">
        <f aca="false">K11+J12</f>
        <v>-41395.0475</v>
      </c>
      <c r="L12" s="43" t="n">
        <f aca="false">IF(AND($A12&gt;=Assumptions!$B$24,J12&gt;=0),1,0)</f>
        <v>0</v>
      </c>
      <c r="M12" s="40" t="n">
        <f aca="false">IF($A12=Assumptions!$B$22,Assumptions!$B$21,IF($A12&lt;Assumptions!$B$24,0,IF($A12&lt;=Assumptions!$B$26,Assumptions!$B$25,IF($A12&lt;=Assumptions!$B$28,Assumptions!$B$27,Assumptions!$B$29))*Assumptions!$E$14))</f>
        <v>6</v>
      </c>
      <c r="N12" s="40" t="n">
        <f aca="false">N11*(1-Assumptions!$E$12)+M12</f>
        <v>11.7624</v>
      </c>
      <c r="O12" s="41" t="n">
        <f aca="false">N12*Assumptions!$E$10*Assumptions!$E$11+IF($A12=Assumptions!$B$22,Assumptions!$B$21*Assumptions!$B$23,0)-Assumptions!$E$18-M12*Assumptions!$E$13-$B12</f>
        <v>-6382.474</v>
      </c>
      <c r="P12" s="41" t="n">
        <f aca="false">P11+O12</f>
        <v>-41458.774</v>
      </c>
      <c r="Q12" s="43" t="n">
        <f aca="false">IF(AND($A12&gt;=Assumptions!$B$24,O12&gt;=0),1,0)</f>
        <v>0</v>
      </c>
      <c r="R12" s="40" t="n">
        <f aca="false">IF($A12=Assumptions!$B$22,Assumptions!$B$21,IF($A12&lt;Assumptions!$B$24,0,IF($A12&lt;=Assumptions!$B$26,Assumptions!$B$25,IF($A12&lt;=Assumptions!$B$28,Assumptions!$B$27,Assumptions!$B$29))*Assumptions!$F$14))</f>
        <v>4</v>
      </c>
      <c r="S12" s="40" t="n">
        <f aca="false">S11*(1-Assumptions!$F$12)+R12</f>
        <v>9.6454</v>
      </c>
      <c r="T12" s="41" t="n">
        <f aca="false">S12*Assumptions!$F$10*Assumptions!$F$11+IF($A12=Assumptions!$B$22,Assumptions!$B$21*Assumptions!$B$23,0)-Assumptions!$F$18-R12*Assumptions!$F$13-$B12</f>
        <v>-2138.2975</v>
      </c>
      <c r="U12" s="41" t="n">
        <f aca="false">U11+T12</f>
        <v>-13395.0475</v>
      </c>
      <c r="V12" s="43" t="n">
        <f aca="false">IF(AND($A12&gt;=Assumptions!$B$24,T12&gt;=0),1,0)</f>
        <v>0</v>
      </c>
      <c r="W12" s="40" t="n">
        <f aca="false">IF($A12=Assumptions!$B$22,Assumptions!$B$21,IF($A12&lt;Assumptions!$B$24,0,IF($A12&lt;=Assumptions!$B$26,Assumptions!$B$25,IF($A12&lt;=Assumptions!$B$28,Assumptions!$B$27,Assumptions!$B$29))*Assumptions!$G$14))</f>
        <v>4</v>
      </c>
      <c r="X12" s="40" t="n">
        <f aca="false">X11*(1-Assumptions!$G$12)+W12</f>
        <v>9.6454</v>
      </c>
      <c r="Y12" s="41" t="n">
        <f aca="false">X12*Assumptions!$G$10*Assumptions!$G$11+IF($A12=Assumptions!$B$22,Assumptions!$B$21*Assumptions!$B$23,0)-Assumptions!$G$18-W12*Assumptions!$G$13-$B12</f>
        <v>-6138.2975</v>
      </c>
      <c r="Z12" s="41" t="n">
        <f aca="false">Z11+Y12</f>
        <v>-41395.0475</v>
      </c>
      <c r="AA12" s="43" t="n">
        <f aca="false">IF(AND($A12&gt;=Assumptions!$B$24,Y12&gt;=0),1,0)</f>
        <v>0</v>
      </c>
    </row>
    <row r="13" customFormat="false" ht="15" hidden="false" customHeight="false" outlineLevel="0" collapsed="false">
      <c r="A13" s="43" t="n">
        <v>8</v>
      </c>
      <c r="B13" s="41" t="n">
        <f aca="false">SUMIF(Assumptions!$B$33:$B$38,A13,Assumptions!$C$33:$C$38)</f>
        <v>0</v>
      </c>
      <c r="C13" s="40" t="n">
        <f aca="false">IF($A13=Assumptions!$B$22,Assumptions!$B$21,IF($A13&lt;Assumptions!$B$24,0,IF($A13&lt;=Assumptions!$B$26,Assumptions!$B$25,IF($A13&lt;=Assumptions!$B$28,Assumptions!$B$27,Assumptions!$B$29))*Assumptions!$C$14))</f>
        <v>2</v>
      </c>
      <c r="D13" s="40" t="n">
        <f aca="false">D12*(1-Assumptions!$C$12)+C13</f>
        <v>9.04425</v>
      </c>
      <c r="E13" s="41" t="n">
        <f aca="false">D13*Assumptions!$C$10*Assumptions!$C$11+IF($A13=Assumptions!$B$22,Assumptions!$B$21*Assumptions!$B$23,0)-Assumptions!$C$18-C13*Assumptions!$C$13-$B13</f>
        <v>-6028.6725</v>
      </c>
      <c r="F13" s="41" t="n">
        <f aca="false">F12+E13</f>
        <v>-48355.2225</v>
      </c>
      <c r="G13" s="43" t="n">
        <f aca="false">IF(AND($A13&gt;=Assumptions!$B$24,E13&gt;=0),1,0)</f>
        <v>0</v>
      </c>
      <c r="H13" s="40" t="n">
        <f aca="false">IF($A13=Assumptions!$B$22,Assumptions!$B$21,IF($A13&lt;Assumptions!$B$24,0,IF($A13&lt;=Assumptions!$B$26,Assumptions!$B$25,IF($A13&lt;=Assumptions!$B$28,Assumptions!$B$27,Assumptions!$B$29))*Assumptions!$D$14))</f>
        <v>4</v>
      </c>
      <c r="I13" s="40" t="n">
        <f aca="false">I12*(1-Assumptions!$D$12)+H13</f>
        <v>13.356038</v>
      </c>
      <c r="J13" s="41" t="n">
        <f aca="false">I13*Assumptions!$D$10*Assumptions!$D$11+IF($A13=Assumptions!$B$22,Assumptions!$B$21*Assumptions!$B$23,0)-Assumptions!$D$18-H13*Assumptions!$D$13-$B13</f>
        <v>-5999.148575</v>
      </c>
      <c r="K13" s="41" t="n">
        <f aca="false">K12+J13</f>
        <v>-47394.196075</v>
      </c>
      <c r="L13" s="43" t="n">
        <f aca="false">IF(AND($A13&gt;=Assumptions!$B$24,J13&gt;=0),1,0)</f>
        <v>0</v>
      </c>
      <c r="M13" s="40" t="n">
        <f aca="false">IF($A13=Assumptions!$B$22,Assumptions!$B$21,IF($A13&lt;Assumptions!$B$24,0,IF($A13&lt;=Assumptions!$B$26,Assumptions!$B$25,IF($A13&lt;=Assumptions!$B$28,Assumptions!$B$27,Assumptions!$B$29))*Assumptions!$E$14))</f>
        <v>6</v>
      </c>
      <c r="N13" s="40" t="n">
        <f aca="false">N12*(1-Assumptions!$E$12)+M13</f>
        <v>17.527152</v>
      </c>
      <c r="O13" s="41" t="n">
        <f aca="false">N13*Assumptions!$E$10*Assumptions!$E$11+IF($A13=Assumptions!$B$22,Assumptions!$B$21*Assumptions!$B$23,0)-Assumptions!$E$18-M13*Assumptions!$E$13-$B13</f>
        <v>-6079.82452</v>
      </c>
      <c r="P13" s="41" t="n">
        <f aca="false">P12+O13</f>
        <v>-47538.59852</v>
      </c>
      <c r="Q13" s="43" t="n">
        <f aca="false">IF(AND($A13&gt;=Assumptions!$B$24,O13&gt;=0),1,0)</f>
        <v>0</v>
      </c>
      <c r="R13" s="40" t="n">
        <f aca="false">IF($A13=Assumptions!$B$22,Assumptions!$B$21,IF($A13&lt;Assumptions!$B$24,0,IF($A13&lt;=Assumptions!$B$26,Assumptions!$B$25,IF($A13&lt;=Assumptions!$B$28,Assumptions!$B$27,Assumptions!$B$29))*Assumptions!$F$14))</f>
        <v>4</v>
      </c>
      <c r="S13" s="40" t="n">
        <f aca="false">S12*(1-Assumptions!$F$12)+R13</f>
        <v>13.356038</v>
      </c>
      <c r="T13" s="41" t="n">
        <f aca="false">S13*Assumptions!$F$10*Assumptions!$F$11+IF($A13=Assumptions!$B$22,Assumptions!$B$21*Assumptions!$B$23,0)-Assumptions!$F$18-R13*Assumptions!$F$13-$B13</f>
        <v>-1999.148575</v>
      </c>
      <c r="U13" s="41" t="n">
        <f aca="false">U12+T13</f>
        <v>-15394.196075</v>
      </c>
      <c r="V13" s="43" t="n">
        <f aca="false">IF(AND($A13&gt;=Assumptions!$B$24,T13&gt;=0),1,0)</f>
        <v>0</v>
      </c>
      <c r="W13" s="40" t="n">
        <f aca="false">IF($A13=Assumptions!$B$22,Assumptions!$B$21,IF($A13&lt;Assumptions!$B$24,0,IF($A13&lt;=Assumptions!$B$26,Assumptions!$B$25,IF($A13&lt;=Assumptions!$B$28,Assumptions!$B$27,Assumptions!$B$29))*Assumptions!$G$14))</f>
        <v>4</v>
      </c>
      <c r="X13" s="40" t="n">
        <f aca="false">X12*(1-Assumptions!$G$12)+W13</f>
        <v>13.356038</v>
      </c>
      <c r="Y13" s="41" t="n">
        <f aca="false">X13*Assumptions!$G$10*Assumptions!$G$11+IF($A13=Assumptions!$B$22,Assumptions!$B$21*Assumptions!$B$23,0)-Assumptions!$G$18-W13*Assumptions!$G$13-$B13</f>
        <v>-5999.148575</v>
      </c>
      <c r="Z13" s="41" t="n">
        <f aca="false">Z12+Y13</f>
        <v>-47394.196075</v>
      </c>
      <c r="AA13" s="43" t="n">
        <f aca="false">IF(AND($A13&gt;=Assumptions!$B$24,Y13&gt;=0),1,0)</f>
        <v>0</v>
      </c>
    </row>
    <row r="14" customFormat="false" ht="15" hidden="false" customHeight="false" outlineLevel="0" collapsed="false">
      <c r="A14" s="43" t="n">
        <v>9</v>
      </c>
      <c r="B14" s="41" t="n">
        <f aca="false">SUMIF(Assumptions!$B$33:$B$38,A14,Assumptions!$C$33:$C$38)</f>
        <v>0</v>
      </c>
      <c r="C14" s="40" t="n">
        <f aca="false">IF($A14=Assumptions!$B$22,Assumptions!$B$21,IF($A14&lt;Assumptions!$B$24,0,IF($A14&lt;=Assumptions!$B$26,Assumptions!$B$25,IF($A14&lt;=Assumptions!$B$28,Assumptions!$B$27,Assumptions!$B$29))*Assumptions!$C$14))</f>
        <v>2</v>
      </c>
      <c r="D14" s="40" t="n">
        <f aca="false">D13*(1-Assumptions!$C$12)+C14</f>
        <v>10.5920375</v>
      </c>
      <c r="E14" s="41" t="n">
        <f aca="false">D14*Assumptions!$C$10*Assumptions!$C$11+IF($A14=Assumptions!$B$22,Assumptions!$B$21*Assumptions!$B$23,0)-Assumptions!$C$18-C14*Assumptions!$C$13-$B14</f>
        <v>-5982.238875</v>
      </c>
      <c r="F14" s="41" t="n">
        <f aca="false">F13+E14</f>
        <v>-54337.461375</v>
      </c>
      <c r="G14" s="43" t="n">
        <f aca="false">IF(AND($A14&gt;=Assumptions!$B$24,E14&gt;=0),1,0)</f>
        <v>0</v>
      </c>
      <c r="H14" s="40" t="n">
        <f aca="false">IF($A14=Assumptions!$B$22,Assumptions!$B$21,IF($A14&lt;Assumptions!$B$24,0,IF($A14&lt;=Assumptions!$B$26,Assumptions!$B$25,IF($A14&lt;=Assumptions!$B$28,Assumptions!$B$27,Assumptions!$B$29))*Assumptions!$D$14))</f>
        <v>4</v>
      </c>
      <c r="I14" s="40" t="n">
        <f aca="false">I13*(1-Assumptions!$D$12)+H14</f>
        <v>16.95535686</v>
      </c>
      <c r="J14" s="41" t="n">
        <f aca="false">I14*Assumptions!$D$10*Assumptions!$D$11+IF($A14=Assumptions!$B$22,Assumptions!$B$21*Assumptions!$B$23,0)-Assumptions!$D$18-H14*Assumptions!$D$13-$B14</f>
        <v>-5864.17411775</v>
      </c>
      <c r="K14" s="41" t="n">
        <f aca="false">K13+J14</f>
        <v>-53258.37019275</v>
      </c>
      <c r="L14" s="43" t="n">
        <f aca="false">IF(AND($A14&gt;=Assumptions!$B$24,J14&gt;=0),1,0)</f>
        <v>0</v>
      </c>
      <c r="M14" s="40" t="n">
        <f aca="false">IF($A14=Assumptions!$B$22,Assumptions!$B$21,IF($A14&lt;Assumptions!$B$24,0,IF($A14&lt;=Assumptions!$B$26,Assumptions!$B$25,IF($A14&lt;=Assumptions!$B$28,Assumptions!$B$27,Assumptions!$B$29))*Assumptions!$E$14))</f>
        <v>6</v>
      </c>
      <c r="N14" s="40" t="n">
        <f aca="false">N13*(1-Assumptions!$E$12)+M14</f>
        <v>23.17660896</v>
      </c>
      <c r="O14" s="41" t="n">
        <f aca="false">N14*Assumptions!$E$10*Assumptions!$E$11+IF($A14=Assumptions!$B$22,Assumptions!$B$21*Assumptions!$B$23,0)-Assumptions!$E$18-M14*Assumptions!$E$13-$B14</f>
        <v>-5783.2280296</v>
      </c>
      <c r="P14" s="41" t="n">
        <f aca="false">P13+O14</f>
        <v>-53321.8265496</v>
      </c>
      <c r="Q14" s="43" t="n">
        <f aca="false">IF(AND($A14&gt;=Assumptions!$B$24,O14&gt;=0),1,0)</f>
        <v>0</v>
      </c>
      <c r="R14" s="40" t="n">
        <f aca="false">IF($A14=Assumptions!$B$22,Assumptions!$B$21,IF($A14&lt;Assumptions!$B$24,0,IF($A14&lt;=Assumptions!$B$26,Assumptions!$B$25,IF($A14&lt;=Assumptions!$B$28,Assumptions!$B$27,Assumptions!$B$29))*Assumptions!$F$14))</f>
        <v>4</v>
      </c>
      <c r="S14" s="40" t="n">
        <f aca="false">S13*(1-Assumptions!$F$12)+R14</f>
        <v>16.95535686</v>
      </c>
      <c r="T14" s="41" t="n">
        <f aca="false">S14*Assumptions!$F$10*Assumptions!$F$11+IF($A14=Assumptions!$B$22,Assumptions!$B$21*Assumptions!$B$23,0)-Assumptions!$F$18-R14*Assumptions!$F$13-$B14</f>
        <v>-1864.17411775</v>
      </c>
      <c r="U14" s="41" t="n">
        <f aca="false">U13+T14</f>
        <v>-17258.37019275</v>
      </c>
      <c r="V14" s="43" t="n">
        <f aca="false">IF(AND($A14&gt;=Assumptions!$B$24,T14&gt;=0),1,0)</f>
        <v>0</v>
      </c>
      <c r="W14" s="40" t="n">
        <f aca="false">IF($A14=Assumptions!$B$22,Assumptions!$B$21,IF($A14&lt;Assumptions!$B$24,0,IF($A14&lt;=Assumptions!$B$26,Assumptions!$B$25,IF($A14&lt;=Assumptions!$B$28,Assumptions!$B$27,Assumptions!$B$29))*Assumptions!$G$14))</f>
        <v>4</v>
      </c>
      <c r="X14" s="40" t="n">
        <f aca="false">X13*(1-Assumptions!$G$12)+W14</f>
        <v>16.95535686</v>
      </c>
      <c r="Y14" s="41" t="n">
        <f aca="false">X14*Assumptions!$G$10*Assumptions!$G$11+IF($A14=Assumptions!$B$22,Assumptions!$B$21*Assumptions!$B$23,0)-Assumptions!$G$18-W14*Assumptions!$G$13-$B14</f>
        <v>-5864.17411775</v>
      </c>
      <c r="Z14" s="41" t="n">
        <f aca="false">Z13+Y14</f>
        <v>-53258.37019275</v>
      </c>
      <c r="AA14" s="43" t="n">
        <f aca="false">IF(AND($A14&gt;=Assumptions!$B$24,Y14&gt;=0),1,0)</f>
        <v>0</v>
      </c>
    </row>
    <row r="15" customFormat="false" ht="15" hidden="false" customHeight="false" outlineLevel="0" collapsed="false">
      <c r="A15" s="43" t="n">
        <v>10</v>
      </c>
      <c r="B15" s="41" t="n">
        <f aca="false">SUMIF(Assumptions!$B$33:$B$38,A15,Assumptions!$C$33:$C$38)</f>
        <v>0</v>
      </c>
      <c r="C15" s="40" t="n">
        <f aca="false">IF($A15=Assumptions!$B$22,Assumptions!$B$21,IF($A15&lt;Assumptions!$B$24,0,IF($A15&lt;=Assumptions!$B$26,Assumptions!$B$25,IF($A15&lt;=Assumptions!$B$28,Assumptions!$B$27,Assumptions!$B$29))*Assumptions!$C$14))</f>
        <v>2</v>
      </c>
      <c r="D15" s="40" t="n">
        <f aca="false">D14*(1-Assumptions!$C$12)+C15</f>
        <v>12.062435625</v>
      </c>
      <c r="E15" s="41" t="n">
        <f aca="false">D15*Assumptions!$C$10*Assumptions!$C$11+IF($A15=Assumptions!$B$22,Assumptions!$B$21*Assumptions!$B$23,0)-Assumptions!$C$18-C15*Assumptions!$C$13-$B15</f>
        <v>-5938.12693125</v>
      </c>
      <c r="F15" s="41" t="n">
        <f aca="false">F14+E15</f>
        <v>-60275.58830625</v>
      </c>
      <c r="G15" s="43" t="n">
        <f aca="false">IF(AND($A15&gt;=Assumptions!$B$24,E15&gt;=0),1,0)</f>
        <v>0</v>
      </c>
      <c r="H15" s="40" t="n">
        <f aca="false">IF($A15=Assumptions!$B$22,Assumptions!$B$21,IF($A15&lt;Assumptions!$B$24,0,IF($A15&lt;=Assumptions!$B$26,Assumptions!$B$25,IF($A15&lt;=Assumptions!$B$28,Assumptions!$B$27,Assumptions!$B$29))*Assumptions!$D$14))</f>
        <v>4</v>
      </c>
      <c r="I15" s="40" t="n">
        <f aca="false">I14*(1-Assumptions!$D$12)+H15</f>
        <v>20.4466961542</v>
      </c>
      <c r="J15" s="41" t="n">
        <f aca="false">I15*Assumptions!$D$10*Assumptions!$D$11+IF($A15=Assumptions!$B$22,Assumptions!$B$21*Assumptions!$B$23,0)-Assumptions!$D$18-H15*Assumptions!$D$13-$B15</f>
        <v>-5733.2488942175</v>
      </c>
      <c r="K15" s="41" t="n">
        <f aca="false">K14+J15</f>
        <v>-58991.6190869675</v>
      </c>
      <c r="L15" s="43" t="n">
        <f aca="false">IF(AND($A15&gt;=Assumptions!$B$24,J15&gt;=0),1,0)</f>
        <v>0</v>
      </c>
      <c r="M15" s="40" t="n">
        <f aca="false">IF($A15=Assumptions!$B$22,Assumptions!$B$21,IF($A15&lt;Assumptions!$B$24,0,IF($A15&lt;=Assumptions!$B$26,Assumptions!$B$25,IF($A15&lt;=Assumptions!$B$28,Assumptions!$B$27,Assumptions!$B$29))*Assumptions!$E$14))</f>
        <v>6</v>
      </c>
      <c r="N15" s="40" t="n">
        <f aca="false">N14*(1-Assumptions!$E$12)+M15</f>
        <v>28.7130767808</v>
      </c>
      <c r="O15" s="41" t="n">
        <f aca="false">N15*Assumptions!$E$10*Assumptions!$E$11+IF($A15=Assumptions!$B$22,Assumptions!$B$21*Assumptions!$B$23,0)-Assumptions!$E$18-M15*Assumptions!$E$13-$B15</f>
        <v>-5492.563469008</v>
      </c>
      <c r="P15" s="41" t="n">
        <f aca="false">P14+O15</f>
        <v>-58814.390018608</v>
      </c>
      <c r="Q15" s="43" t="n">
        <f aca="false">IF(AND($A15&gt;=Assumptions!$B$24,O15&gt;=0),1,0)</f>
        <v>0</v>
      </c>
      <c r="R15" s="40" t="n">
        <f aca="false">IF($A15=Assumptions!$B$22,Assumptions!$B$21,IF($A15&lt;Assumptions!$B$24,0,IF($A15&lt;=Assumptions!$B$26,Assumptions!$B$25,IF($A15&lt;=Assumptions!$B$28,Assumptions!$B$27,Assumptions!$B$29))*Assumptions!$F$14))</f>
        <v>4</v>
      </c>
      <c r="S15" s="40" t="n">
        <f aca="false">S14*(1-Assumptions!$F$12)+R15</f>
        <v>20.4466961542</v>
      </c>
      <c r="T15" s="41" t="n">
        <f aca="false">S15*Assumptions!$F$10*Assumptions!$F$11+IF($A15=Assumptions!$B$22,Assumptions!$B$21*Assumptions!$B$23,0)-Assumptions!$F$18-R15*Assumptions!$F$13-$B15</f>
        <v>-1733.2488942175</v>
      </c>
      <c r="U15" s="41" t="n">
        <f aca="false">U14+T15</f>
        <v>-18991.6190869675</v>
      </c>
      <c r="V15" s="43" t="n">
        <f aca="false">IF(AND($A15&gt;=Assumptions!$B$24,T15&gt;=0),1,0)</f>
        <v>0</v>
      </c>
      <c r="W15" s="40" t="n">
        <f aca="false">IF($A15=Assumptions!$B$22,Assumptions!$B$21,IF($A15&lt;Assumptions!$B$24,0,IF($A15&lt;=Assumptions!$B$26,Assumptions!$B$25,IF($A15&lt;=Assumptions!$B$28,Assumptions!$B$27,Assumptions!$B$29))*Assumptions!$G$14))</f>
        <v>4</v>
      </c>
      <c r="X15" s="40" t="n">
        <f aca="false">X14*(1-Assumptions!$G$12)+W15</f>
        <v>20.4466961542</v>
      </c>
      <c r="Y15" s="41" t="n">
        <f aca="false">X15*Assumptions!$G$10*Assumptions!$G$11+IF($A15=Assumptions!$B$22,Assumptions!$B$21*Assumptions!$B$23,0)-Assumptions!$G$18-W15*Assumptions!$G$13-$B15</f>
        <v>-5733.2488942175</v>
      </c>
      <c r="Z15" s="41" t="n">
        <f aca="false">Z14+Y15</f>
        <v>-58991.6190869675</v>
      </c>
      <c r="AA15" s="43" t="n">
        <f aca="false">IF(AND($A15&gt;=Assumptions!$B$24,Y15&gt;=0),1,0)</f>
        <v>0</v>
      </c>
    </row>
    <row r="16" customFormat="false" ht="15" hidden="false" customHeight="false" outlineLevel="0" collapsed="false">
      <c r="A16" s="43" t="n">
        <v>11</v>
      </c>
      <c r="B16" s="41" t="n">
        <f aca="false">SUMIF(Assumptions!$B$33:$B$38,A16,Assumptions!$C$33:$C$38)</f>
        <v>0</v>
      </c>
      <c r="C16" s="40" t="n">
        <f aca="false">IF($A16=Assumptions!$B$22,Assumptions!$B$21,IF($A16&lt;Assumptions!$B$24,0,IF($A16&lt;=Assumptions!$B$26,Assumptions!$B$25,IF($A16&lt;=Assumptions!$B$28,Assumptions!$B$27,Assumptions!$B$29))*Assumptions!$C$14))</f>
        <v>2</v>
      </c>
      <c r="D16" s="40" t="n">
        <f aca="false">D15*(1-Assumptions!$C$12)+C16</f>
        <v>13.45931384375</v>
      </c>
      <c r="E16" s="41" t="n">
        <f aca="false">D16*Assumptions!$C$10*Assumptions!$C$11+IF($A16=Assumptions!$B$22,Assumptions!$B$21*Assumptions!$B$23,0)-Assumptions!$C$18-C16*Assumptions!$C$13-$B16</f>
        <v>-5896.2205846875</v>
      </c>
      <c r="F16" s="41" t="n">
        <f aca="false">F15+E16</f>
        <v>-66171.8088909375</v>
      </c>
      <c r="G16" s="43" t="n">
        <f aca="false">IF(AND($A16&gt;=Assumptions!$B$24,E16&gt;=0),1,0)</f>
        <v>0</v>
      </c>
      <c r="H16" s="40" t="n">
        <f aca="false">IF($A16=Assumptions!$B$22,Assumptions!$B$21,IF($A16&lt;Assumptions!$B$24,0,IF($A16&lt;=Assumptions!$B$26,Assumptions!$B$25,IF($A16&lt;=Assumptions!$B$28,Assumptions!$B$27,Assumptions!$B$29))*Assumptions!$D$14))</f>
        <v>4</v>
      </c>
      <c r="I16" s="40" t="n">
        <f aca="false">I15*(1-Assumptions!$D$12)+H16</f>
        <v>23.833295269574</v>
      </c>
      <c r="J16" s="41" t="n">
        <f aca="false">I16*Assumptions!$D$10*Assumptions!$D$11+IF($A16=Assumptions!$B$22,Assumptions!$B$21*Assumptions!$B$23,0)-Assumptions!$D$18-H16*Assumptions!$D$13-$B16</f>
        <v>-5606.25142739098</v>
      </c>
      <c r="K16" s="41" t="n">
        <f aca="false">K15+J16</f>
        <v>-64597.8705143585</v>
      </c>
      <c r="L16" s="43" t="n">
        <f aca="false">IF(AND($A16&gt;=Assumptions!$B$24,J16&gt;=0),1,0)</f>
        <v>0</v>
      </c>
      <c r="M16" s="40" t="n">
        <f aca="false">IF($A16=Assumptions!$B$22,Assumptions!$B$21,IF($A16&lt;Assumptions!$B$24,0,IF($A16&lt;=Assumptions!$B$26,Assumptions!$B$25,IF($A16&lt;=Assumptions!$B$28,Assumptions!$B$27,Assumptions!$B$29))*Assumptions!$E$14))</f>
        <v>6</v>
      </c>
      <c r="N16" s="40" t="n">
        <f aca="false">N15*(1-Assumptions!$E$12)+M16</f>
        <v>34.138815245184</v>
      </c>
      <c r="O16" s="41" t="n">
        <f aca="false">N16*Assumptions!$E$10*Assumptions!$E$11+IF($A16=Assumptions!$B$22,Assumptions!$B$21*Assumptions!$B$23,0)-Assumptions!$E$18-M16*Assumptions!$E$13-$B16</f>
        <v>-5207.71219962784</v>
      </c>
      <c r="P16" s="41" t="n">
        <f aca="false">P15+O16</f>
        <v>-64022.1022182359</v>
      </c>
      <c r="Q16" s="43" t="n">
        <f aca="false">IF(AND($A16&gt;=Assumptions!$B$24,O16&gt;=0),1,0)</f>
        <v>0</v>
      </c>
      <c r="R16" s="40" t="n">
        <f aca="false">IF($A16=Assumptions!$B$22,Assumptions!$B$21,IF($A16&lt;Assumptions!$B$24,0,IF($A16&lt;=Assumptions!$B$26,Assumptions!$B$25,IF($A16&lt;=Assumptions!$B$28,Assumptions!$B$27,Assumptions!$B$29))*Assumptions!$F$14))</f>
        <v>4</v>
      </c>
      <c r="S16" s="40" t="n">
        <f aca="false">S15*(1-Assumptions!$F$12)+R16</f>
        <v>23.833295269574</v>
      </c>
      <c r="T16" s="41" t="n">
        <f aca="false">S16*Assumptions!$F$10*Assumptions!$F$11+IF($A16=Assumptions!$B$22,Assumptions!$B$21*Assumptions!$B$23,0)-Assumptions!$F$18-R16*Assumptions!$F$13-$B16</f>
        <v>-1606.25142739098</v>
      </c>
      <c r="U16" s="41" t="n">
        <f aca="false">U15+T16</f>
        <v>-20597.8705143585</v>
      </c>
      <c r="V16" s="43" t="n">
        <f aca="false">IF(AND($A16&gt;=Assumptions!$B$24,T16&gt;=0),1,0)</f>
        <v>0</v>
      </c>
      <c r="W16" s="40" t="n">
        <f aca="false">IF($A16=Assumptions!$B$22,Assumptions!$B$21,IF($A16&lt;Assumptions!$B$24,0,IF($A16&lt;=Assumptions!$B$26,Assumptions!$B$25,IF($A16&lt;=Assumptions!$B$28,Assumptions!$B$27,Assumptions!$B$29))*Assumptions!$G$14))</f>
        <v>4</v>
      </c>
      <c r="X16" s="40" t="n">
        <f aca="false">X15*(1-Assumptions!$G$12)+W16</f>
        <v>23.833295269574</v>
      </c>
      <c r="Y16" s="41" t="n">
        <f aca="false">X16*Assumptions!$G$10*Assumptions!$G$11+IF($A16=Assumptions!$B$22,Assumptions!$B$21*Assumptions!$B$23,0)-Assumptions!$G$18-W16*Assumptions!$G$13-$B16</f>
        <v>-5606.25142739098</v>
      </c>
      <c r="Z16" s="41" t="n">
        <f aca="false">Z15+Y16</f>
        <v>-64597.8705143585</v>
      </c>
      <c r="AA16" s="43" t="n">
        <f aca="false">IF(AND($A16&gt;=Assumptions!$B$24,Y16&gt;=0),1,0)</f>
        <v>0</v>
      </c>
    </row>
    <row r="17" customFormat="false" ht="15" hidden="false" customHeight="false" outlineLevel="0" collapsed="false">
      <c r="A17" s="43" t="n">
        <v>12</v>
      </c>
      <c r="B17" s="41" t="n">
        <f aca="false">SUMIF(Assumptions!$B$33:$B$38,A17,Assumptions!$C$33:$C$38)</f>
        <v>13000</v>
      </c>
      <c r="C17" s="40" t="n">
        <f aca="false">IF($A17=Assumptions!$B$22,Assumptions!$B$21,IF($A17&lt;Assumptions!$B$24,0,IF($A17&lt;=Assumptions!$B$26,Assumptions!$B$25,IF($A17&lt;=Assumptions!$B$28,Assumptions!$B$27,Assumptions!$B$29))*Assumptions!$C$14))</f>
        <v>2</v>
      </c>
      <c r="D17" s="40" t="n">
        <f aca="false">D16*(1-Assumptions!$C$12)+C17</f>
        <v>14.7863481515625</v>
      </c>
      <c r="E17" s="41" t="n">
        <f aca="false">D17*Assumptions!$C$10*Assumptions!$C$11+IF($A17=Assumptions!$B$22,Assumptions!$B$21*Assumptions!$B$23,0)-Assumptions!$C$18-C17*Assumptions!$C$13-$B17</f>
        <v>-18856.4095554531</v>
      </c>
      <c r="F17" s="41" t="n">
        <f aca="false">F16+E17</f>
        <v>-85028.2184463906</v>
      </c>
      <c r="G17" s="43" t="n">
        <f aca="false">IF(AND($A17&gt;=Assumptions!$B$24,E17&gt;=0),1,0)</f>
        <v>0</v>
      </c>
      <c r="H17" s="40" t="n">
        <f aca="false">IF($A17=Assumptions!$B$22,Assumptions!$B$21,IF($A17&lt;Assumptions!$B$24,0,IF($A17&lt;=Assumptions!$B$26,Assumptions!$B$25,IF($A17&lt;=Assumptions!$B$28,Assumptions!$B$27,Assumptions!$B$29))*Assumptions!$D$14))</f>
        <v>4</v>
      </c>
      <c r="I17" s="40" t="n">
        <f aca="false">I16*(1-Assumptions!$D$12)+H17</f>
        <v>27.1182964114868</v>
      </c>
      <c r="J17" s="41" t="n">
        <f aca="false">I17*Assumptions!$D$10*Assumptions!$D$11+IF($A17=Assumptions!$B$22,Assumptions!$B$21*Assumptions!$B$23,0)-Assumptions!$D$18-H17*Assumptions!$D$13-$B17</f>
        <v>-18483.0638845692</v>
      </c>
      <c r="K17" s="41" t="n">
        <f aca="false">K16+J17</f>
        <v>-83080.9343989277</v>
      </c>
      <c r="L17" s="43" t="n">
        <f aca="false">IF(AND($A17&gt;=Assumptions!$B$24,J17&gt;=0),1,0)</f>
        <v>0</v>
      </c>
      <c r="M17" s="40" t="n">
        <f aca="false">IF($A17=Assumptions!$B$22,Assumptions!$B$21,IF($A17&lt;Assumptions!$B$24,0,IF($A17&lt;=Assumptions!$B$26,Assumptions!$B$25,IF($A17&lt;=Assumptions!$B$28,Assumptions!$B$27,Assumptions!$B$29))*Assumptions!$E$14))</f>
        <v>6</v>
      </c>
      <c r="N17" s="40" t="n">
        <f aca="false">N16*(1-Assumptions!$E$12)+M17</f>
        <v>39.4560389402803</v>
      </c>
      <c r="O17" s="41" t="n">
        <f aca="false">N17*Assumptions!$E$10*Assumptions!$E$11+IF($A17=Assumptions!$B$22,Assumptions!$B$21*Assumptions!$B$23,0)-Assumptions!$E$18-M17*Assumptions!$E$13-$B17</f>
        <v>-17928.5579556353</v>
      </c>
      <c r="P17" s="41" t="n">
        <f aca="false">P16+O17</f>
        <v>-81950.6601738712</v>
      </c>
      <c r="Q17" s="43" t="n">
        <f aca="false">IF(AND($A17&gt;=Assumptions!$B$24,O17&gt;=0),1,0)</f>
        <v>0</v>
      </c>
      <c r="R17" s="40" t="n">
        <f aca="false">IF($A17=Assumptions!$B$22,Assumptions!$B$21,IF($A17&lt;Assumptions!$B$24,0,IF($A17&lt;=Assumptions!$B$26,Assumptions!$B$25,IF($A17&lt;=Assumptions!$B$28,Assumptions!$B$27,Assumptions!$B$29))*Assumptions!$F$14))</f>
        <v>4</v>
      </c>
      <c r="S17" s="40" t="n">
        <f aca="false">S16*(1-Assumptions!$F$12)+R17</f>
        <v>27.1182964114868</v>
      </c>
      <c r="T17" s="41" t="n">
        <f aca="false">S17*Assumptions!$F$10*Assumptions!$F$11+IF($A17=Assumptions!$B$22,Assumptions!$B$21*Assumptions!$B$23,0)-Assumptions!$F$18-R17*Assumptions!$F$13-$B17</f>
        <v>-14483.0638845692</v>
      </c>
      <c r="U17" s="41" t="n">
        <f aca="false">U16+T17</f>
        <v>-35080.9343989277</v>
      </c>
      <c r="V17" s="43" t="n">
        <f aca="false">IF(AND($A17&gt;=Assumptions!$B$24,T17&gt;=0),1,0)</f>
        <v>0</v>
      </c>
      <c r="W17" s="40" t="n">
        <f aca="false">IF($A17=Assumptions!$B$22,Assumptions!$B$21,IF($A17&lt;Assumptions!$B$24,0,IF($A17&lt;=Assumptions!$B$26,Assumptions!$B$25,IF($A17&lt;=Assumptions!$B$28,Assumptions!$B$27,Assumptions!$B$29))*Assumptions!$G$14))</f>
        <v>4</v>
      </c>
      <c r="X17" s="40" t="n">
        <f aca="false">X16*(1-Assumptions!$G$12)+W17</f>
        <v>27.1182964114868</v>
      </c>
      <c r="Y17" s="41" t="n">
        <f aca="false">X17*Assumptions!$G$10*Assumptions!$G$11+IF($A17=Assumptions!$B$22,Assumptions!$B$21*Assumptions!$B$23,0)-Assumptions!$G$18-W17*Assumptions!$G$13-$B17</f>
        <v>-18483.0638845692</v>
      </c>
      <c r="Z17" s="41" t="n">
        <f aca="false">Z16+Y17</f>
        <v>-83080.9343989277</v>
      </c>
      <c r="AA17" s="43" t="n">
        <f aca="false">IF(AND($A17&gt;=Assumptions!$B$24,Y17&gt;=0),1,0)</f>
        <v>0</v>
      </c>
    </row>
    <row r="18" customFormat="false" ht="15" hidden="false" customHeight="false" outlineLevel="0" collapsed="false">
      <c r="A18" s="43" t="n">
        <v>13</v>
      </c>
      <c r="B18" s="41" t="n">
        <f aca="false">SUMIF(Assumptions!$B$33:$B$38,A18,Assumptions!$C$33:$C$38)</f>
        <v>0</v>
      </c>
      <c r="C18" s="40" t="n">
        <f aca="false">IF($A18=Assumptions!$B$22,Assumptions!$B$21,IF($A18&lt;Assumptions!$B$24,0,IF($A18&lt;=Assumptions!$B$26,Assumptions!$B$25,IF($A18&lt;=Assumptions!$B$28,Assumptions!$B$27,Assumptions!$B$29))*Assumptions!$C$14))</f>
        <v>3</v>
      </c>
      <c r="D18" s="40" t="n">
        <f aca="false">D17*(1-Assumptions!$C$12)+C18</f>
        <v>17.0470307439844</v>
      </c>
      <c r="E18" s="41" t="n">
        <f aca="false">D18*Assumptions!$C$10*Assumptions!$C$11+IF($A18=Assumptions!$B$22,Assumptions!$B$21*Assumptions!$B$23,0)-Assumptions!$C$18-C18*Assumptions!$C$13-$B18</f>
        <v>-6188.58907768047</v>
      </c>
      <c r="F18" s="41" t="n">
        <f aca="false">F17+E18</f>
        <v>-91216.8075240711</v>
      </c>
      <c r="G18" s="43" t="n">
        <f aca="false">IF(AND($A18&gt;=Assumptions!$B$24,E18&gt;=0),1,0)</f>
        <v>0</v>
      </c>
      <c r="H18" s="40" t="n">
        <f aca="false">IF($A18=Assumptions!$B$22,Assumptions!$B$21,IF($A18&lt;Assumptions!$B$24,0,IF($A18&lt;=Assumptions!$B$26,Assumptions!$B$25,IF($A18&lt;=Assumptions!$B$28,Assumptions!$B$27,Assumptions!$B$29))*Assumptions!$D$14))</f>
        <v>6</v>
      </c>
      <c r="I18" s="40" t="n">
        <f aca="false">I17*(1-Assumptions!$D$12)+H18</f>
        <v>32.3047475191422</v>
      </c>
      <c r="J18" s="41" t="n">
        <f aca="false">I18*Assumptions!$D$10*Assumptions!$D$11+IF($A18=Assumptions!$B$22,Assumptions!$B$21*Assumptions!$B$23,0)-Assumptions!$D$18-H18*Assumptions!$D$13-$B18</f>
        <v>-5788.57196803217</v>
      </c>
      <c r="K18" s="41" t="n">
        <f aca="false">K17+J18</f>
        <v>-88869.5063669599</v>
      </c>
      <c r="L18" s="43" t="n">
        <f aca="false">IF(AND($A18&gt;=Assumptions!$B$24,J18&gt;=0),1,0)</f>
        <v>0</v>
      </c>
      <c r="M18" s="40" t="n">
        <f aca="false">IF($A18=Assumptions!$B$22,Assumptions!$B$21,IF($A18&lt;Assumptions!$B$24,0,IF($A18&lt;=Assumptions!$B$26,Assumptions!$B$25,IF($A18&lt;=Assumptions!$B$28,Assumptions!$B$27,Assumptions!$B$29))*Assumptions!$E$14))</f>
        <v>9</v>
      </c>
      <c r="N18" s="40" t="n">
        <f aca="false">N17*(1-Assumptions!$E$12)+M18</f>
        <v>47.6669181614747</v>
      </c>
      <c r="O18" s="41" t="n">
        <f aca="false">N18*Assumptions!$E$10*Assumptions!$E$11+IF($A18=Assumptions!$B$22,Assumptions!$B$21*Assumptions!$B$23,0)-Assumptions!$E$18-M18*Assumptions!$E$13-$B18</f>
        <v>-5247.48679652258</v>
      </c>
      <c r="P18" s="41" t="n">
        <f aca="false">P17+O18</f>
        <v>-87198.1469703937</v>
      </c>
      <c r="Q18" s="43" t="n">
        <f aca="false">IF(AND($A18&gt;=Assumptions!$B$24,O18&gt;=0),1,0)</f>
        <v>0</v>
      </c>
      <c r="R18" s="40" t="n">
        <f aca="false">IF($A18=Assumptions!$B$22,Assumptions!$B$21,IF($A18&lt;Assumptions!$B$24,0,IF($A18&lt;=Assumptions!$B$26,Assumptions!$B$25,IF($A18&lt;=Assumptions!$B$28,Assumptions!$B$27,Assumptions!$B$29))*Assumptions!$F$14))</f>
        <v>6</v>
      </c>
      <c r="S18" s="40" t="n">
        <f aca="false">S17*(1-Assumptions!$F$12)+R18</f>
        <v>32.3047475191422</v>
      </c>
      <c r="T18" s="41" t="n">
        <f aca="false">S18*Assumptions!$F$10*Assumptions!$F$11+IF($A18=Assumptions!$B$22,Assumptions!$B$21*Assumptions!$B$23,0)-Assumptions!$F$18-R18*Assumptions!$F$13-$B18</f>
        <v>-1788.57196803217</v>
      </c>
      <c r="U18" s="41" t="n">
        <f aca="false">U17+T18</f>
        <v>-36869.5063669599</v>
      </c>
      <c r="V18" s="43" t="n">
        <f aca="false">IF(AND($A18&gt;=Assumptions!$B$24,T18&gt;=0),1,0)</f>
        <v>0</v>
      </c>
      <c r="W18" s="40" t="n">
        <f aca="false">IF($A18=Assumptions!$B$22,Assumptions!$B$21,IF($A18&lt;Assumptions!$B$24,0,IF($A18&lt;=Assumptions!$B$26,Assumptions!$B$25,IF($A18&lt;=Assumptions!$B$28,Assumptions!$B$27,Assumptions!$B$29))*Assumptions!$G$14))</f>
        <v>6</v>
      </c>
      <c r="X18" s="40" t="n">
        <f aca="false">X17*(1-Assumptions!$G$12)+W18</f>
        <v>32.3047475191422</v>
      </c>
      <c r="Y18" s="41" t="n">
        <f aca="false">X18*Assumptions!$G$10*Assumptions!$G$11+IF($A18=Assumptions!$B$22,Assumptions!$B$21*Assumptions!$B$23,0)-Assumptions!$G$18-W18*Assumptions!$G$13-$B18</f>
        <v>-5788.57196803217</v>
      </c>
      <c r="Z18" s="41" t="n">
        <f aca="false">Z17+Y18</f>
        <v>-88869.5063669599</v>
      </c>
      <c r="AA18" s="43" t="n">
        <f aca="false">IF(AND($A18&gt;=Assumptions!$B$24,Y18&gt;=0),1,0)</f>
        <v>0</v>
      </c>
    </row>
    <row r="19" customFormat="false" ht="15" hidden="false" customHeight="false" outlineLevel="0" collapsed="false">
      <c r="A19" s="43" t="n">
        <v>14</v>
      </c>
      <c r="B19" s="41" t="n">
        <f aca="false">SUMIF(Assumptions!$B$33:$B$38,A19,Assumptions!$C$33:$C$38)</f>
        <v>0</v>
      </c>
      <c r="C19" s="40" t="n">
        <f aca="false">IF($A19=Assumptions!$B$22,Assumptions!$B$21,IF($A19&lt;Assumptions!$B$24,0,IF($A19&lt;=Assumptions!$B$26,Assumptions!$B$25,IF($A19&lt;=Assumptions!$B$28,Assumptions!$B$27,Assumptions!$B$29))*Assumptions!$C$14))</f>
        <v>3</v>
      </c>
      <c r="D19" s="40" t="n">
        <f aca="false">D18*(1-Assumptions!$C$12)+C19</f>
        <v>19.1946792067852</v>
      </c>
      <c r="E19" s="41" t="n">
        <f aca="false">D19*Assumptions!$C$10*Assumptions!$C$11+IF($A19=Assumptions!$B$22,Assumptions!$B$21*Assumptions!$B$23,0)-Assumptions!$C$18-C19*Assumptions!$C$13-$B19</f>
        <v>-6124.15962379645</v>
      </c>
      <c r="F19" s="41" t="n">
        <f aca="false">F18+E19</f>
        <v>-97340.9671478675</v>
      </c>
      <c r="G19" s="43" t="n">
        <f aca="false">IF(AND($A19&gt;=Assumptions!$B$24,E19&gt;=0),1,0)</f>
        <v>0</v>
      </c>
      <c r="H19" s="40" t="n">
        <f aca="false">IF($A19=Assumptions!$B$22,Assumptions!$B$21,IF($A19&lt;Assumptions!$B$24,0,IF($A19&lt;=Assumptions!$B$26,Assumptions!$B$25,IF($A19&lt;=Assumptions!$B$28,Assumptions!$B$27,Assumptions!$B$29))*Assumptions!$D$14))</f>
        <v>6</v>
      </c>
      <c r="I19" s="40" t="n">
        <f aca="false">I18*(1-Assumptions!$D$12)+H19</f>
        <v>37.3356050935679</v>
      </c>
      <c r="J19" s="41" t="n">
        <f aca="false">I19*Assumptions!$D$10*Assumptions!$D$11+IF($A19=Assumptions!$B$22,Assumptions!$B$21*Assumptions!$B$23,0)-Assumptions!$D$18-H19*Assumptions!$D$13-$B19</f>
        <v>-5599.9148089912</v>
      </c>
      <c r="K19" s="41" t="n">
        <f aca="false">K18+J19</f>
        <v>-94469.4211759511</v>
      </c>
      <c r="L19" s="43" t="n">
        <f aca="false">IF(AND($A19&gt;=Assumptions!$B$24,J19&gt;=0),1,0)</f>
        <v>0</v>
      </c>
      <c r="M19" s="40" t="n">
        <f aca="false">IF($A19=Assumptions!$B$22,Assumptions!$B$21,IF($A19&lt;Assumptions!$B$24,0,IF($A19&lt;=Assumptions!$B$26,Assumptions!$B$25,IF($A19&lt;=Assumptions!$B$28,Assumptions!$B$27,Assumptions!$B$29))*Assumptions!$E$14))</f>
        <v>9</v>
      </c>
      <c r="N19" s="40" t="n">
        <f aca="false">N18*(1-Assumptions!$E$12)+M19</f>
        <v>55.7135797982452</v>
      </c>
      <c r="O19" s="41" t="n">
        <f aca="false">N19*Assumptions!$E$10*Assumptions!$E$11+IF($A19=Assumptions!$B$22,Assumptions!$B$21*Assumptions!$B$23,0)-Assumptions!$E$18-M19*Assumptions!$E$13-$B19</f>
        <v>-4825.03706059213</v>
      </c>
      <c r="P19" s="41" t="n">
        <f aca="false">P18+O19</f>
        <v>-92023.1840309858</v>
      </c>
      <c r="Q19" s="43" t="n">
        <f aca="false">IF(AND($A19&gt;=Assumptions!$B$24,O19&gt;=0),1,0)</f>
        <v>0</v>
      </c>
      <c r="R19" s="40" t="n">
        <f aca="false">IF($A19=Assumptions!$B$22,Assumptions!$B$21,IF($A19&lt;Assumptions!$B$24,0,IF($A19&lt;=Assumptions!$B$26,Assumptions!$B$25,IF($A19&lt;=Assumptions!$B$28,Assumptions!$B$27,Assumptions!$B$29))*Assumptions!$F$14))</f>
        <v>6</v>
      </c>
      <c r="S19" s="40" t="n">
        <f aca="false">S18*(1-Assumptions!$F$12)+R19</f>
        <v>37.3356050935679</v>
      </c>
      <c r="T19" s="41" t="n">
        <f aca="false">S19*Assumptions!$F$10*Assumptions!$F$11+IF($A19=Assumptions!$B$22,Assumptions!$B$21*Assumptions!$B$23,0)-Assumptions!$F$18-R19*Assumptions!$F$13-$B19</f>
        <v>-1599.9148089912</v>
      </c>
      <c r="U19" s="41" t="n">
        <f aca="false">U18+T19</f>
        <v>-38469.4211759511</v>
      </c>
      <c r="V19" s="43" t="n">
        <f aca="false">IF(AND($A19&gt;=Assumptions!$B$24,T19&gt;=0),1,0)</f>
        <v>0</v>
      </c>
      <c r="W19" s="40" t="n">
        <f aca="false">IF($A19=Assumptions!$B$22,Assumptions!$B$21,IF($A19&lt;Assumptions!$B$24,0,IF($A19&lt;=Assumptions!$B$26,Assumptions!$B$25,IF($A19&lt;=Assumptions!$B$28,Assumptions!$B$27,Assumptions!$B$29))*Assumptions!$G$14))</f>
        <v>6</v>
      </c>
      <c r="X19" s="40" t="n">
        <f aca="false">X18*(1-Assumptions!$G$12)+W19</f>
        <v>37.3356050935679</v>
      </c>
      <c r="Y19" s="41" t="n">
        <f aca="false">X19*Assumptions!$G$10*Assumptions!$G$11+IF($A19=Assumptions!$B$22,Assumptions!$B$21*Assumptions!$B$23,0)-Assumptions!$G$18-W19*Assumptions!$G$13-$B19</f>
        <v>-5599.9148089912</v>
      </c>
      <c r="Z19" s="41" t="n">
        <f aca="false">Z18+Y19</f>
        <v>-94469.4211759511</v>
      </c>
      <c r="AA19" s="43" t="n">
        <f aca="false">IF(AND($A19&gt;=Assumptions!$B$24,Y19&gt;=0),1,0)</f>
        <v>0</v>
      </c>
    </row>
    <row r="20" customFormat="false" ht="15" hidden="false" customHeight="false" outlineLevel="0" collapsed="false">
      <c r="A20" s="43" t="n">
        <v>15</v>
      </c>
      <c r="B20" s="41" t="n">
        <f aca="false">SUMIF(Assumptions!$B$33:$B$38,A20,Assumptions!$C$33:$C$38)</f>
        <v>0</v>
      </c>
      <c r="C20" s="40" t="n">
        <f aca="false">IF($A20=Assumptions!$B$22,Assumptions!$B$21,IF($A20&lt;Assumptions!$B$24,0,IF($A20&lt;=Assumptions!$B$26,Assumptions!$B$25,IF($A20&lt;=Assumptions!$B$28,Assumptions!$B$27,Assumptions!$B$29))*Assumptions!$C$14))</f>
        <v>3</v>
      </c>
      <c r="D20" s="40" t="n">
        <f aca="false">D19*(1-Assumptions!$C$12)+C20</f>
        <v>21.2349452464459</v>
      </c>
      <c r="E20" s="41" t="n">
        <f aca="false">D20*Assumptions!$C$10*Assumptions!$C$11+IF($A20=Assumptions!$B$22,Assumptions!$B$21*Assumptions!$B$23,0)-Assumptions!$C$18-C20*Assumptions!$C$13-$B20</f>
        <v>-6062.95164260662</v>
      </c>
      <c r="F20" s="41" t="n">
        <f aca="false">F19+E20</f>
        <v>-103403.918790474</v>
      </c>
      <c r="G20" s="43" t="n">
        <f aca="false">IF(AND($A20&gt;=Assumptions!$B$24,E20&gt;=0),1,0)</f>
        <v>0</v>
      </c>
      <c r="H20" s="40" t="n">
        <f aca="false">IF($A20=Assumptions!$B$22,Assumptions!$B$21,IF($A20&lt;Assumptions!$B$24,0,IF($A20&lt;=Assumptions!$B$26,Assumptions!$B$25,IF($A20&lt;=Assumptions!$B$28,Assumptions!$B$27,Assumptions!$B$29))*Assumptions!$D$14))</f>
        <v>6</v>
      </c>
      <c r="I20" s="40" t="n">
        <f aca="false">I19*(1-Assumptions!$D$12)+H20</f>
        <v>42.2155369407609</v>
      </c>
      <c r="J20" s="41" t="n">
        <f aca="false">I20*Assumptions!$D$10*Assumptions!$D$11+IF($A20=Assumptions!$B$22,Assumptions!$B$21*Assumptions!$B$23,0)-Assumptions!$D$18-H20*Assumptions!$D$13-$B20</f>
        <v>-5416.91736472147</v>
      </c>
      <c r="K20" s="41" t="n">
        <f aca="false">K19+J20</f>
        <v>-99886.3385406726</v>
      </c>
      <c r="L20" s="43" t="n">
        <f aca="false">IF(AND($A20&gt;=Assumptions!$B$24,J20&gt;=0),1,0)</f>
        <v>0</v>
      </c>
      <c r="M20" s="40" t="n">
        <f aca="false">IF($A20=Assumptions!$B$22,Assumptions!$B$21,IF($A20&lt;Assumptions!$B$24,0,IF($A20&lt;=Assumptions!$B$26,Assumptions!$B$25,IF($A20&lt;=Assumptions!$B$28,Assumptions!$B$27,Assumptions!$B$29))*Assumptions!$E$14))</f>
        <v>9</v>
      </c>
      <c r="N20" s="40" t="n">
        <f aca="false">N19*(1-Assumptions!$E$12)+M20</f>
        <v>63.5993082022803</v>
      </c>
      <c r="O20" s="41" t="n">
        <f aca="false">N20*Assumptions!$E$10*Assumptions!$E$11+IF($A20=Assumptions!$B$22,Assumptions!$B$21*Assumptions!$B$23,0)-Assumptions!$E$18-M20*Assumptions!$E$13-$B20</f>
        <v>-4411.03631938028</v>
      </c>
      <c r="P20" s="41" t="n">
        <f aca="false">P19+O20</f>
        <v>-96434.2203503661</v>
      </c>
      <c r="Q20" s="43" t="n">
        <f aca="false">IF(AND($A20&gt;=Assumptions!$B$24,O20&gt;=0),1,0)</f>
        <v>0</v>
      </c>
      <c r="R20" s="40" t="n">
        <f aca="false">IF($A20=Assumptions!$B$22,Assumptions!$B$21,IF($A20&lt;Assumptions!$B$24,0,IF($A20&lt;=Assumptions!$B$26,Assumptions!$B$25,IF($A20&lt;=Assumptions!$B$28,Assumptions!$B$27,Assumptions!$B$29))*Assumptions!$F$14))</f>
        <v>6</v>
      </c>
      <c r="S20" s="40" t="n">
        <f aca="false">S19*(1-Assumptions!$F$12)+R20</f>
        <v>42.2155369407609</v>
      </c>
      <c r="T20" s="41" t="n">
        <f aca="false">S20*Assumptions!$F$10*Assumptions!$F$11+IF($A20=Assumptions!$B$22,Assumptions!$B$21*Assumptions!$B$23,0)-Assumptions!$F$18-R20*Assumptions!$F$13-$B20</f>
        <v>-1416.91736472147</v>
      </c>
      <c r="U20" s="41" t="n">
        <f aca="false">U19+T20</f>
        <v>-39886.3385406726</v>
      </c>
      <c r="V20" s="43" t="n">
        <f aca="false">IF(AND($A20&gt;=Assumptions!$B$24,T20&gt;=0),1,0)</f>
        <v>0</v>
      </c>
      <c r="W20" s="40" t="n">
        <f aca="false">IF($A20=Assumptions!$B$22,Assumptions!$B$21,IF($A20&lt;Assumptions!$B$24,0,IF($A20&lt;=Assumptions!$B$26,Assumptions!$B$25,IF($A20&lt;=Assumptions!$B$28,Assumptions!$B$27,Assumptions!$B$29))*Assumptions!$G$14))</f>
        <v>6</v>
      </c>
      <c r="X20" s="40" t="n">
        <f aca="false">X19*(1-Assumptions!$G$12)+W20</f>
        <v>42.2155369407609</v>
      </c>
      <c r="Y20" s="41" t="n">
        <f aca="false">X20*Assumptions!$G$10*Assumptions!$G$11+IF($A20=Assumptions!$B$22,Assumptions!$B$21*Assumptions!$B$23,0)-Assumptions!$G$18-W20*Assumptions!$G$13-$B20</f>
        <v>-5416.91736472147</v>
      </c>
      <c r="Z20" s="41" t="n">
        <f aca="false">Z19+Y20</f>
        <v>-99886.3385406726</v>
      </c>
      <c r="AA20" s="43" t="n">
        <f aca="false">IF(AND($A20&gt;=Assumptions!$B$24,Y20&gt;=0),1,0)</f>
        <v>0</v>
      </c>
    </row>
    <row r="21" customFormat="false" ht="15" hidden="false" customHeight="false" outlineLevel="0" collapsed="false">
      <c r="A21" s="43" t="n">
        <v>16</v>
      </c>
      <c r="B21" s="41" t="n">
        <f aca="false">SUMIF(Assumptions!$B$33:$B$38,A21,Assumptions!$C$33:$C$38)</f>
        <v>0</v>
      </c>
      <c r="C21" s="40" t="n">
        <f aca="false">IF($A21=Assumptions!$B$22,Assumptions!$B$21,IF($A21&lt;Assumptions!$B$24,0,IF($A21&lt;=Assumptions!$B$26,Assumptions!$B$25,IF($A21&lt;=Assumptions!$B$28,Assumptions!$B$27,Assumptions!$B$29))*Assumptions!$C$14))</f>
        <v>3</v>
      </c>
      <c r="D21" s="40" t="n">
        <f aca="false">D20*(1-Assumptions!$C$12)+C21</f>
        <v>23.1731979841236</v>
      </c>
      <c r="E21" s="41" t="n">
        <f aca="false">D21*Assumptions!$C$10*Assumptions!$C$11+IF($A21=Assumptions!$B$22,Assumptions!$B$21*Assumptions!$B$23,0)-Assumptions!$C$18-C21*Assumptions!$C$13-$B21</f>
        <v>-6004.80406047629</v>
      </c>
      <c r="F21" s="41" t="n">
        <f aca="false">F20+E21</f>
        <v>-109408.72285095</v>
      </c>
      <c r="G21" s="43" t="n">
        <f aca="false">IF(AND($A21&gt;=Assumptions!$B$24,E21&gt;=0),1,0)</f>
        <v>0</v>
      </c>
      <c r="H21" s="40" t="n">
        <f aca="false">IF($A21=Assumptions!$B$22,Assumptions!$B$21,IF($A21&lt;Assumptions!$B$24,0,IF($A21&lt;=Assumptions!$B$26,Assumptions!$B$25,IF($A21&lt;=Assumptions!$B$28,Assumptions!$B$27,Assumptions!$B$29))*Assumptions!$D$14))</f>
        <v>6</v>
      </c>
      <c r="I21" s="40" t="n">
        <f aca="false">I20*(1-Assumptions!$D$12)+H21</f>
        <v>46.9490708325381</v>
      </c>
      <c r="J21" s="41" t="n">
        <f aca="false">I21*Assumptions!$D$10*Assumptions!$D$11+IF($A21=Assumptions!$B$22,Assumptions!$B$21*Assumptions!$B$23,0)-Assumptions!$D$18-H21*Assumptions!$D$13-$B21</f>
        <v>-5239.40984377982</v>
      </c>
      <c r="K21" s="41" t="n">
        <f aca="false">K20+J21</f>
        <v>-105125.748384452</v>
      </c>
      <c r="L21" s="43" t="n">
        <f aca="false">IF(AND($A21&gt;=Assumptions!$B$24,J21&gt;=0),1,0)</f>
        <v>0</v>
      </c>
      <c r="M21" s="40" t="n">
        <f aca="false">IF($A21=Assumptions!$B$22,Assumptions!$B$21,IF($A21&lt;Assumptions!$B$24,0,IF($A21&lt;=Assumptions!$B$26,Assumptions!$B$25,IF($A21&lt;=Assumptions!$B$28,Assumptions!$B$27,Assumptions!$B$29))*Assumptions!$E$14))</f>
        <v>9</v>
      </c>
      <c r="N21" s="40" t="n">
        <f aca="false">N20*(1-Assumptions!$E$12)+M21</f>
        <v>71.3273220382347</v>
      </c>
      <c r="O21" s="41" t="n">
        <f aca="false">N21*Assumptions!$E$10*Assumptions!$E$11+IF($A21=Assumptions!$B$22,Assumptions!$B$21*Assumptions!$B$23,0)-Assumptions!$E$18-M21*Assumptions!$E$13-$B21</f>
        <v>-4005.31559299268</v>
      </c>
      <c r="P21" s="41" t="n">
        <f aca="false">P20+O21</f>
        <v>-100439.535943359</v>
      </c>
      <c r="Q21" s="43" t="n">
        <f aca="false">IF(AND($A21&gt;=Assumptions!$B$24,O21&gt;=0),1,0)</f>
        <v>0</v>
      </c>
      <c r="R21" s="40" t="n">
        <f aca="false">IF($A21=Assumptions!$B$22,Assumptions!$B$21,IF($A21&lt;Assumptions!$B$24,0,IF($A21&lt;=Assumptions!$B$26,Assumptions!$B$25,IF($A21&lt;=Assumptions!$B$28,Assumptions!$B$27,Assumptions!$B$29))*Assumptions!$F$14))</f>
        <v>6</v>
      </c>
      <c r="S21" s="40" t="n">
        <f aca="false">S20*(1-Assumptions!$F$12)+R21</f>
        <v>46.9490708325381</v>
      </c>
      <c r="T21" s="41" t="n">
        <f aca="false">S21*Assumptions!$F$10*Assumptions!$F$11+IF($A21=Assumptions!$B$22,Assumptions!$B$21*Assumptions!$B$23,0)-Assumptions!$F$18-R21*Assumptions!$F$13-$B21</f>
        <v>-1239.40984377982</v>
      </c>
      <c r="U21" s="41" t="n">
        <f aca="false">U20+T21</f>
        <v>-41125.7483844524</v>
      </c>
      <c r="V21" s="43" t="n">
        <f aca="false">IF(AND($A21&gt;=Assumptions!$B$24,T21&gt;=0),1,0)</f>
        <v>0</v>
      </c>
      <c r="W21" s="40" t="n">
        <f aca="false">IF($A21=Assumptions!$B$22,Assumptions!$B$21,IF($A21&lt;Assumptions!$B$24,0,IF($A21&lt;=Assumptions!$B$26,Assumptions!$B$25,IF($A21&lt;=Assumptions!$B$28,Assumptions!$B$27,Assumptions!$B$29))*Assumptions!$G$14))</f>
        <v>6</v>
      </c>
      <c r="X21" s="40" t="n">
        <f aca="false">X20*(1-Assumptions!$G$12)+W21</f>
        <v>46.9490708325381</v>
      </c>
      <c r="Y21" s="41" t="n">
        <f aca="false">X21*Assumptions!$G$10*Assumptions!$G$11+IF($A21=Assumptions!$B$22,Assumptions!$B$21*Assumptions!$B$23,0)-Assumptions!$G$18-W21*Assumptions!$G$13-$B21</f>
        <v>-5239.40984377982</v>
      </c>
      <c r="Z21" s="41" t="n">
        <f aca="false">Z20+Y21</f>
        <v>-105125.748384452</v>
      </c>
      <c r="AA21" s="43" t="n">
        <f aca="false">IF(AND($A21&gt;=Assumptions!$B$24,Y21&gt;=0),1,0)</f>
        <v>0</v>
      </c>
    </row>
    <row r="22" customFormat="false" ht="15" hidden="false" customHeight="false" outlineLevel="0" collapsed="false">
      <c r="A22" s="43" t="n">
        <v>17</v>
      </c>
      <c r="B22" s="41" t="n">
        <f aca="false">SUMIF(Assumptions!$B$33:$B$38,A22,Assumptions!$C$33:$C$38)</f>
        <v>0</v>
      </c>
      <c r="C22" s="40" t="n">
        <f aca="false">IF($A22=Assumptions!$B$22,Assumptions!$B$21,IF($A22&lt;Assumptions!$B$24,0,IF($A22&lt;=Assumptions!$B$26,Assumptions!$B$25,IF($A22&lt;=Assumptions!$B$28,Assumptions!$B$27,Assumptions!$B$29))*Assumptions!$C$14))</f>
        <v>3</v>
      </c>
      <c r="D22" s="40" t="n">
        <f aca="false">D21*(1-Assumptions!$C$12)+C22</f>
        <v>25.0145380849174</v>
      </c>
      <c r="E22" s="41" t="n">
        <f aca="false">D22*Assumptions!$C$10*Assumptions!$C$11+IF($A22=Assumptions!$B$22,Assumptions!$B$21*Assumptions!$B$23,0)-Assumptions!$C$18-C22*Assumptions!$C$13-$B22</f>
        <v>-5949.56385745248</v>
      </c>
      <c r="F22" s="41" t="n">
        <f aca="false">F21+E22</f>
        <v>-115358.286708403</v>
      </c>
      <c r="G22" s="43" t="n">
        <f aca="false">IF(AND($A22&gt;=Assumptions!$B$24,E22&gt;=0),1,0)</f>
        <v>0</v>
      </c>
      <c r="H22" s="40" t="n">
        <f aca="false">IF($A22=Assumptions!$B$22,Assumptions!$B$21,IF($A22&lt;Assumptions!$B$24,0,IF($A22&lt;=Assumptions!$B$26,Assumptions!$B$25,IF($A22&lt;=Assumptions!$B$28,Assumptions!$B$27,Assumptions!$B$29))*Assumptions!$D$14))</f>
        <v>6</v>
      </c>
      <c r="I22" s="40" t="n">
        <f aca="false">I21*(1-Assumptions!$D$12)+H22</f>
        <v>51.5405987075619</v>
      </c>
      <c r="J22" s="41" t="n">
        <f aca="false">I22*Assumptions!$D$10*Assumptions!$D$11+IF($A22=Assumptions!$B$22,Assumptions!$B$21*Assumptions!$B$23,0)-Assumptions!$D$18-H22*Assumptions!$D$13-$B22</f>
        <v>-5067.22754846643</v>
      </c>
      <c r="K22" s="41" t="n">
        <f aca="false">K21+J22</f>
        <v>-110192.975932919</v>
      </c>
      <c r="L22" s="43" t="n">
        <f aca="false">IF(AND($A22&gt;=Assumptions!$B$24,J22&gt;=0),1,0)</f>
        <v>0</v>
      </c>
      <c r="M22" s="40" t="n">
        <f aca="false">IF($A22=Assumptions!$B$22,Assumptions!$B$21,IF($A22&lt;Assumptions!$B$24,0,IF($A22&lt;=Assumptions!$B$26,Assumptions!$B$25,IF($A22&lt;=Assumptions!$B$28,Assumptions!$B$27,Assumptions!$B$29))*Assumptions!$E$14))</f>
        <v>9</v>
      </c>
      <c r="N22" s="40" t="n">
        <f aca="false">N21*(1-Assumptions!$E$12)+M22</f>
        <v>78.90077559747</v>
      </c>
      <c r="O22" s="41" t="n">
        <f aca="false">N22*Assumptions!$E$10*Assumptions!$E$11+IF($A22=Assumptions!$B$22,Assumptions!$B$21*Assumptions!$B$23,0)-Assumptions!$E$18-M22*Assumptions!$E$13-$B22</f>
        <v>-3607.70928113283</v>
      </c>
      <c r="P22" s="41" t="n">
        <f aca="false">P21+O22</f>
        <v>-104047.245224492</v>
      </c>
      <c r="Q22" s="43" t="n">
        <f aca="false">IF(AND($A22&gt;=Assumptions!$B$24,O22&gt;=0),1,0)</f>
        <v>0</v>
      </c>
      <c r="R22" s="40" t="n">
        <f aca="false">IF($A22=Assumptions!$B$22,Assumptions!$B$21,IF($A22&lt;Assumptions!$B$24,0,IF($A22&lt;=Assumptions!$B$26,Assumptions!$B$25,IF($A22&lt;=Assumptions!$B$28,Assumptions!$B$27,Assumptions!$B$29))*Assumptions!$F$14))</f>
        <v>6</v>
      </c>
      <c r="S22" s="40" t="n">
        <f aca="false">S21*(1-Assumptions!$F$12)+R22</f>
        <v>51.5405987075619</v>
      </c>
      <c r="T22" s="41" t="n">
        <f aca="false">S22*Assumptions!$F$10*Assumptions!$F$11+IF($A22=Assumptions!$B$22,Assumptions!$B$21*Assumptions!$B$23,0)-Assumptions!$F$18-R22*Assumptions!$F$13-$B22</f>
        <v>-1067.22754846643</v>
      </c>
      <c r="U22" s="41" t="n">
        <f aca="false">U21+T22</f>
        <v>-42192.9759329188</v>
      </c>
      <c r="V22" s="43" t="n">
        <f aca="false">IF(AND($A22&gt;=Assumptions!$B$24,T22&gt;=0),1,0)</f>
        <v>0</v>
      </c>
      <c r="W22" s="40" t="n">
        <f aca="false">IF($A22=Assumptions!$B$22,Assumptions!$B$21,IF($A22&lt;Assumptions!$B$24,0,IF($A22&lt;=Assumptions!$B$26,Assumptions!$B$25,IF($A22&lt;=Assumptions!$B$28,Assumptions!$B$27,Assumptions!$B$29))*Assumptions!$G$14))</f>
        <v>6</v>
      </c>
      <c r="X22" s="40" t="n">
        <f aca="false">X21*(1-Assumptions!$G$12)+W22</f>
        <v>51.5405987075619</v>
      </c>
      <c r="Y22" s="41" t="n">
        <f aca="false">X22*Assumptions!$G$10*Assumptions!$G$11+IF($A22=Assumptions!$B$22,Assumptions!$B$21*Assumptions!$B$23,0)-Assumptions!$G$18-W22*Assumptions!$G$13-$B22</f>
        <v>-5067.22754846643</v>
      </c>
      <c r="Z22" s="41" t="n">
        <f aca="false">Z21+Y22</f>
        <v>-110192.975932919</v>
      </c>
      <c r="AA22" s="43" t="n">
        <f aca="false">IF(AND($A22&gt;=Assumptions!$B$24,Y22&gt;=0),1,0)</f>
        <v>0</v>
      </c>
    </row>
    <row r="23" customFormat="false" ht="15" hidden="false" customHeight="false" outlineLevel="0" collapsed="false">
      <c r="A23" s="43" t="n">
        <v>18</v>
      </c>
      <c r="B23" s="41" t="n">
        <f aca="false">SUMIF(Assumptions!$B$33:$B$38,A23,Assumptions!$C$33:$C$38)</f>
        <v>0</v>
      </c>
      <c r="C23" s="40" t="n">
        <f aca="false">IF($A23=Assumptions!$B$22,Assumptions!$B$21,IF($A23&lt;Assumptions!$B$24,0,IF($A23&lt;=Assumptions!$B$26,Assumptions!$B$25,IF($A23&lt;=Assumptions!$B$28,Assumptions!$B$27,Assumptions!$B$29))*Assumptions!$C$14))</f>
        <v>3</v>
      </c>
      <c r="D23" s="40" t="n">
        <f aca="false">D22*(1-Assumptions!$C$12)+C23</f>
        <v>26.7638111806715</v>
      </c>
      <c r="E23" s="41" t="n">
        <f aca="false">D23*Assumptions!$C$10*Assumptions!$C$11+IF($A23=Assumptions!$B$22,Assumptions!$B$21*Assumptions!$B$23,0)-Assumptions!$C$18-C23*Assumptions!$C$13-$B23</f>
        <v>-5897.08566457985</v>
      </c>
      <c r="F23" s="41" t="n">
        <f aca="false">F22+E23</f>
        <v>-121255.372372983</v>
      </c>
      <c r="G23" s="43" t="n">
        <f aca="false">IF(AND($A23&gt;=Assumptions!$B$24,E23&gt;=0),1,0)</f>
        <v>0</v>
      </c>
      <c r="H23" s="40" t="n">
        <f aca="false">IF($A23=Assumptions!$B$22,Assumptions!$B$21,IF($A23&lt;Assumptions!$B$24,0,IF($A23&lt;=Assumptions!$B$26,Assumptions!$B$25,IF($A23&lt;=Assumptions!$B$28,Assumptions!$B$27,Assumptions!$B$29))*Assumptions!$D$14))</f>
        <v>6</v>
      </c>
      <c r="I23" s="40" t="n">
        <f aca="false">I22*(1-Assumptions!$D$12)+H23</f>
        <v>55.9943807463351</v>
      </c>
      <c r="J23" s="41" t="n">
        <f aca="false">I23*Assumptions!$D$10*Assumptions!$D$11+IF($A23=Assumptions!$B$22,Assumptions!$B$21*Assumptions!$B$23,0)-Assumptions!$D$18-H23*Assumptions!$D$13-$B23</f>
        <v>-4900.21072201244</v>
      </c>
      <c r="K23" s="41" t="n">
        <f aca="false">K22+J23</f>
        <v>-115093.186654931</v>
      </c>
      <c r="L23" s="43" t="n">
        <f aca="false">IF(AND($A23&gt;=Assumptions!$B$24,J23&gt;=0),1,0)</f>
        <v>0</v>
      </c>
      <c r="M23" s="40" t="n">
        <f aca="false">IF($A23=Assumptions!$B$22,Assumptions!$B$21,IF($A23&lt;Assumptions!$B$24,0,IF($A23&lt;=Assumptions!$B$26,Assumptions!$B$25,IF($A23&lt;=Assumptions!$B$28,Assumptions!$B$27,Assumptions!$B$29))*Assumptions!$E$14))</f>
        <v>9</v>
      </c>
      <c r="N23" s="40" t="n">
        <f aca="false">N22*(1-Assumptions!$E$12)+M23</f>
        <v>86.3227600855206</v>
      </c>
      <c r="O23" s="41" t="n">
        <f aca="false">N23*Assumptions!$E$10*Assumptions!$E$11+IF($A23=Assumptions!$B$22,Assumptions!$B$21*Assumptions!$B$23,0)-Assumptions!$E$18-M23*Assumptions!$E$13-$B23</f>
        <v>-3218.05509551017</v>
      </c>
      <c r="P23" s="41" t="n">
        <f aca="false">P22+O23</f>
        <v>-107265.300320002</v>
      </c>
      <c r="Q23" s="43" t="n">
        <f aca="false">IF(AND($A23&gt;=Assumptions!$B$24,O23&gt;=0),1,0)</f>
        <v>0</v>
      </c>
      <c r="R23" s="40" t="n">
        <f aca="false">IF($A23=Assumptions!$B$22,Assumptions!$B$21,IF($A23&lt;Assumptions!$B$24,0,IF($A23&lt;=Assumptions!$B$26,Assumptions!$B$25,IF($A23&lt;=Assumptions!$B$28,Assumptions!$B$27,Assumptions!$B$29))*Assumptions!$F$14))</f>
        <v>6</v>
      </c>
      <c r="S23" s="40" t="n">
        <f aca="false">S22*(1-Assumptions!$F$12)+R23</f>
        <v>55.9943807463351</v>
      </c>
      <c r="T23" s="41" t="n">
        <f aca="false">S23*Assumptions!$F$10*Assumptions!$F$11+IF($A23=Assumptions!$B$22,Assumptions!$B$21*Assumptions!$B$23,0)-Assumptions!$F$18-R23*Assumptions!$F$13-$B23</f>
        <v>-900.210722012435</v>
      </c>
      <c r="U23" s="41" t="n">
        <f aca="false">U22+T23</f>
        <v>-43093.1866549313</v>
      </c>
      <c r="V23" s="43" t="n">
        <f aca="false">IF(AND($A23&gt;=Assumptions!$B$24,T23&gt;=0),1,0)</f>
        <v>0</v>
      </c>
      <c r="W23" s="40" t="n">
        <f aca="false">IF($A23=Assumptions!$B$22,Assumptions!$B$21,IF($A23&lt;Assumptions!$B$24,0,IF($A23&lt;=Assumptions!$B$26,Assumptions!$B$25,IF($A23&lt;=Assumptions!$B$28,Assumptions!$B$27,Assumptions!$B$29))*Assumptions!$G$14))</f>
        <v>6</v>
      </c>
      <c r="X23" s="40" t="n">
        <f aca="false">X22*(1-Assumptions!$G$12)+W23</f>
        <v>55.9943807463351</v>
      </c>
      <c r="Y23" s="41" t="n">
        <f aca="false">X23*Assumptions!$G$10*Assumptions!$G$11+IF($A23=Assumptions!$B$22,Assumptions!$B$21*Assumptions!$B$23,0)-Assumptions!$G$18-W23*Assumptions!$G$13-$B23</f>
        <v>-4900.21072201244</v>
      </c>
      <c r="Z23" s="41" t="n">
        <f aca="false">Z22+Y23</f>
        <v>-115093.186654931</v>
      </c>
      <c r="AA23" s="43" t="n">
        <f aca="false">IF(AND($A23&gt;=Assumptions!$B$24,Y23&gt;=0),1,0)</f>
        <v>0</v>
      </c>
    </row>
    <row r="24" customFormat="false" ht="15" hidden="false" customHeight="false" outlineLevel="0" collapsed="false">
      <c r="A24" s="43" t="n">
        <v>19</v>
      </c>
      <c r="B24" s="41" t="n">
        <f aca="false">SUMIF(Assumptions!$B$33:$B$38,A24,Assumptions!$C$33:$C$38)</f>
        <v>0</v>
      </c>
      <c r="C24" s="40" t="n">
        <f aca="false">IF($A24=Assumptions!$B$22,Assumptions!$B$21,IF($A24&lt;Assumptions!$B$24,0,IF($A24&lt;=Assumptions!$B$26,Assumptions!$B$25,IF($A24&lt;=Assumptions!$B$28,Assumptions!$B$27,Assumptions!$B$29))*Assumptions!$C$14))</f>
        <v>3</v>
      </c>
      <c r="D24" s="40" t="n">
        <f aca="false">D23*(1-Assumptions!$C$12)+C24</f>
        <v>28.425620621638</v>
      </c>
      <c r="E24" s="41" t="n">
        <f aca="false">D24*Assumptions!$C$10*Assumptions!$C$11+IF($A24=Assumptions!$B$22,Assumptions!$B$21*Assumptions!$B$23,0)-Assumptions!$C$18-C24*Assumptions!$C$13-$B24</f>
        <v>-5847.23138135086</v>
      </c>
      <c r="F24" s="41" t="n">
        <f aca="false">F23+E24</f>
        <v>-127102.603754334</v>
      </c>
      <c r="G24" s="43" t="n">
        <f aca="false">IF(AND($A24&gt;=Assumptions!$B$24,E24&gt;=0),1,0)</f>
        <v>0</v>
      </c>
      <c r="H24" s="40" t="n">
        <f aca="false">IF($A24=Assumptions!$B$22,Assumptions!$B$21,IF($A24&lt;Assumptions!$B$24,0,IF($A24&lt;=Assumptions!$B$26,Assumptions!$B$25,IF($A24&lt;=Assumptions!$B$28,Assumptions!$B$27,Assumptions!$B$29))*Assumptions!$D$14))</f>
        <v>6</v>
      </c>
      <c r="I24" s="40" t="n">
        <f aca="false">I23*(1-Assumptions!$D$12)+H24</f>
        <v>60.314549323945</v>
      </c>
      <c r="J24" s="41" t="n">
        <f aca="false">I24*Assumptions!$D$10*Assumptions!$D$11+IF($A24=Assumptions!$B$22,Assumptions!$B$21*Assumptions!$B$23,0)-Assumptions!$D$18-H24*Assumptions!$D$13-$B24</f>
        <v>-4738.20440035206</v>
      </c>
      <c r="K24" s="41" t="n">
        <f aca="false">K23+J24</f>
        <v>-119831.391055283</v>
      </c>
      <c r="L24" s="43" t="n">
        <f aca="false">IF(AND($A24&gt;=Assumptions!$B$24,J24&gt;=0),1,0)</f>
        <v>0</v>
      </c>
      <c r="M24" s="40" t="n">
        <f aca="false">IF($A24=Assumptions!$B$22,Assumptions!$B$21,IF($A24&lt;Assumptions!$B$24,0,IF($A24&lt;=Assumptions!$B$26,Assumptions!$B$25,IF($A24&lt;=Assumptions!$B$28,Assumptions!$B$27,Assumptions!$B$29))*Assumptions!$E$14))</f>
        <v>9</v>
      </c>
      <c r="N24" s="40" t="n">
        <f aca="false">N23*(1-Assumptions!$E$12)+M24</f>
        <v>93.5963048838102</v>
      </c>
      <c r="O24" s="41" t="n">
        <f aca="false">N24*Assumptions!$E$10*Assumptions!$E$11+IF($A24=Assumptions!$B$22,Assumptions!$B$21*Assumptions!$B$23,0)-Assumptions!$E$18-M24*Assumptions!$E$13-$B24</f>
        <v>-2836.19399359996</v>
      </c>
      <c r="P24" s="41" t="n">
        <f aca="false">P23+O24</f>
        <v>-110101.494313602</v>
      </c>
      <c r="Q24" s="43" t="n">
        <f aca="false">IF(AND($A24&gt;=Assumptions!$B$24,O24&gt;=0),1,0)</f>
        <v>0</v>
      </c>
      <c r="R24" s="40" t="n">
        <f aca="false">IF($A24=Assumptions!$B$22,Assumptions!$B$21,IF($A24&lt;Assumptions!$B$24,0,IF($A24&lt;=Assumptions!$B$26,Assumptions!$B$25,IF($A24&lt;=Assumptions!$B$28,Assumptions!$B$27,Assumptions!$B$29))*Assumptions!$F$14))</f>
        <v>6</v>
      </c>
      <c r="S24" s="40" t="n">
        <f aca="false">S23*(1-Assumptions!$F$12)+R24</f>
        <v>60.314549323945</v>
      </c>
      <c r="T24" s="41" t="n">
        <f aca="false">S24*Assumptions!$F$10*Assumptions!$F$11+IF($A24=Assumptions!$B$22,Assumptions!$B$21*Assumptions!$B$23,0)-Assumptions!$F$18-R24*Assumptions!$F$13-$B24</f>
        <v>-738.204400352062</v>
      </c>
      <c r="U24" s="41" t="n">
        <f aca="false">U23+T24</f>
        <v>-43831.3910552833</v>
      </c>
      <c r="V24" s="43" t="n">
        <f aca="false">IF(AND($A24&gt;=Assumptions!$B$24,T24&gt;=0),1,0)</f>
        <v>0</v>
      </c>
      <c r="W24" s="40" t="n">
        <f aca="false">IF($A24=Assumptions!$B$22,Assumptions!$B$21,IF($A24&lt;Assumptions!$B$24,0,IF($A24&lt;=Assumptions!$B$26,Assumptions!$B$25,IF($A24&lt;=Assumptions!$B$28,Assumptions!$B$27,Assumptions!$B$29))*Assumptions!$G$14))</f>
        <v>6</v>
      </c>
      <c r="X24" s="40" t="n">
        <f aca="false">X23*(1-Assumptions!$G$12)+W24</f>
        <v>60.314549323945</v>
      </c>
      <c r="Y24" s="41" t="n">
        <f aca="false">X24*Assumptions!$G$10*Assumptions!$G$11+IF($A24=Assumptions!$B$22,Assumptions!$B$21*Assumptions!$B$23,0)-Assumptions!$G$18-W24*Assumptions!$G$13-$B24</f>
        <v>-4738.20440035206</v>
      </c>
      <c r="Z24" s="41" t="n">
        <f aca="false">Z23+Y24</f>
        <v>-119831.391055283</v>
      </c>
      <c r="AA24" s="43" t="n">
        <f aca="false">IF(AND($A24&gt;=Assumptions!$B$24,Y24&gt;=0),1,0)</f>
        <v>0</v>
      </c>
    </row>
    <row r="25" customFormat="false" ht="15" hidden="false" customHeight="false" outlineLevel="0" collapsed="false">
      <c r="A25" s="43" t="n">
        <v>20</v>
      </c>
      <c r="B25" s="41" t="n">
        <f aca="false">SUMIF(Assumptions!$B$33:$B$38,A25,Assumptions!$C$33:$C$38)</f>
        <v>0</v>
      </c>
      <c r="C25" s="40" t="n">
        <f aca="false">IF($A25=Assumptions!$B$22,Assumptions!$B$21,IF($A25&lt;Assumptions!$B$24,0,IF($A25&lt;=Assumptions!$B$26,Assumptions!$B$25,IF($A25&lt;=Assumptions!$B$28,Assumptions!$B$27,Assumptions!$B$29))*Assumptions!$C$14))</f>
        <v>3</v>
      </c>
      <c r="D25" s="40" t="n">
        <f aca="false">D24*(1-Assumptions!$C$12)+C25</f>
        <v>30.0043395905561</v>
      </c>
      <c r="E25" s="41" t="n">
        <f aca="false">D25*Assumptions!$C$10*Assumptions!$C$11+IF($A25=Assumptions!$B$22,Assumptions!$B$21*Assumptions!$B$23,0)-Assumptions!$C$18-C25*Assumptions!$C$13-$B25</f>
        <v>-5799.86981228332</v>
      </c>
      <c r="F25" s="41" t="n">
        <f aca="false">F24+E25</f>
        <v>-132902.473566617</v>
      </c>
      <c r="G25" s="43" t="n">
        <f aca="false">IF(AND($A25&gt;=Assumptions!$B$24,E25&gt;=0),1,0)</f>
        <v>0</v>
      </c>
      <c r="H25" s="40" t="n">
        <f aca="false">IF($A25=Assumptions!$B$22,Assumptions!$B$21,IF($A25&lt;Assumptions!$B$24,0,IF($A25&lt;=Assumptions!$B$26,Assumptions!$B$25,IF($A25&lt;=Assumptions!$B$28,Assumptions!$B$27,Assumptions!$B$29))*Assumptions!$D$14))</f>
        <v>6</v>
      </c>
      <c r="I25" s="40" t="n">
        <f aca="false">I24*(1-Assumptions!$D$12)+H25</f>
        <v>64.5051128442267</v>
      </c>
      <c r="J25" s="41" t="n">
        <f aca="false">I25*Assumptions!$D$10*Assumptions!$D$11+IF($A25=Assumptions!$B$22,Assumptions!$B$21*Assumptions!$B$23,0)-Assumptions!$D$18-H25*Assumptions!$D$13-$B25</f>
        <v>-4581.0582683415</v>
      </c>
      <c r="K25" s="41" t="n">
        <f aca="false">K24+J25</f>
        <v>-124412.449323625</v>
      </c>
      <c r="L25" s="43" t="n">
        <f aca="false">IF(AND($A25&gt;=Assumptions!$B$24,J25&gt;=0),1,0)</f>
        <v>0</v>
      </c>
      <c r="M25" s="40" t="n">
        <f aca="false">IF($A25=Assumptions!$B$22,Assumptions!$B$21,IF($A25&lt;Assumptions!$B$24,0,IF($A25&lt;=Assumptions!$B$26,Assumptions!$B$25,IF($A25&lt;=Assumptions!$B$28,Assumptions!$B$27,Assumptions!$B$29))*Assumptions!$E$14))</f>
        <v>9</v>
      </c>
      <c r="N25" s="40" t="n">
        <f aca="false">N24*(1-Assumptions!$E$12)+M25</f>
        <v>100.724378786134</v>
      </c>
      <c r="O25" s="41" t="n">
        <f aca="false">N25*Assumptions!$E$10*Assumptions!$E$11+IF($A25=Assumptions!$B$22,Assumptions!$B$21*Assumptions!$B$23,0)-Assumptions!$E$18-M25*Assumptions!$E$13-$B25</f>
        <v>-2461.97011372797</v>
      </c>
      <c r="P25" s="41" t="n">
        <f aca="false">P24+O25</f>
        <v>-112563.46442733</v>
      </c>
      <c r="Q25" s="43" t="n">
        <f aca="false">IF(AND($A25&gt;=Assumptions!$B$24,O25&gt;=0),1,0)</f>
        <v>0</v>
      </c>
      <c r="R25" s="40" t="n">
        <f aca="false">IF($A25=Assumptions!$B$22,Assumptions!$B$21,IF($A25&lt;Assumptions!$B$24,0,IF($A25&lt;=Assumptions!$B$26,Assumptions!$B$25,IF($A25&lt;=Assumptions!$B$28,Assumptions!$B$27,Assumptions!$B$29))*Assumptions!$F$14))</f>
        <v>6</v>
      </c>
      <c r="S25" s="40" t="n">
        <f aca="false">S24*(1-Assumptions!$F$12)+R25</f>
        <v>64.5051128442267</v>
      </c>
      <c r="T25" s="41" t="n">
        <f aca="false">S25*Assumptions!$F$10*Assumptions!$F$11+IF($A25=Assumptions!$B$22,Assumptions!$B$21*Assumptions!$B$23,0)-Assumptions!$F$18-R25*Assumptions!$F$13-$B25</f>
        <v>-581.058268341501</v>
      </c>
      <c r="U25" s="41" t="n">
        <f aca="false">U24+T25</f>
        <v>-44412.4493236248</v>
      </c>
      <c r="V25" s="43" t="n">
        <f aca="false">IF(AND($A25&gt;=Assumptions!$B$24,T25&gt;=0),1,0)</f>
        <v>0</v>
      </c>
      <c r="W25" s="40" t="n">
        <f aca="false">IF($A25=Assumptions!$B$22,Assumptions!$B$21,IF($A25&lt;Assumptions!$B$24,0,IF($A25&lt;=Assumptions!$B$26,Assumptions!$B$25,IF($A25&lt;=Assumptions!$B$28,Assumptions!$B$27,Assumptions!$B$29))*Assumptions!$G$14))</f>
        <v>6</v>
      </c>
      <c r="X25" s="40" t="n">
        <f aca="false">X24*(1-Assumptions!$G$12)+W25</f>
        <v>64.5051128442267</v>
      </c>
      <c r="Y25" s="41" t="n">
        <f aca="false">X25*Assumptions!$G$10*Assumptions!$G$11+IF($A25=Assumptions!$B$22,Assumptions!$B$21*Assumptions!$B$23,0)-Assumptions!$G$18-W25*Assumptions!$G$13-$B25</f>
        <v>-4581.0582683415</v>
      </c>
      <c r="Z25" s="41" t="n">
        <f aca="false">Z24+Y25</f>
        <v>-124412.449323625</v>
      </c>
      <c r="AA25" s="43" t="n">
        <f aca="false">IF(AND($A25&gt;=Assumptions!$B$24,Y25&gt;=0),1,0)</f>
        <v>0</v>
      </c>
    </row>
    <row r="26" customFormat="false" ht="15" hidden="false" customHeight="false" outlineLevel="0" collapsed="false">
      <c r="A26" s="43" t="n">
        <v>21</v>
      </c>
      <c r="B26" s="41" t="n">
        <f aca="false">SUMIF(Assumptions!$B$33:$B$38,A26,Assumptions!$C$33:$C$38)</f>
        <v>0</v>
      </c>
      <c r="C26" s="40" t="n">
        <f aca="false">IF($A26=Assumptions!$B$22,Assumptions!$B$21,IF($A26&lt;Assumptions!$B$24,0,IF($A26&lt;=Assumptions!$B$26,Assumptions!$B$25,IF($A26&lt;=Assumptions!$B$28,Assumptions!$B$27,Assumptions!$B$29))*Assumptions!$C$14))</f>
        <v>3</v>
      </c>
      <c r="D26" s="40" t="n">
        <f aca="false">D25*(1-Assumptions!$C$12)+C26</f>
        <v>31.5041226110283</v>
      </c>
      <c r="E26" s="41" t="n">
        <f aca="false">D26*Assumptions!$C$10*Assumptions!$C$11+IF($A26=Assumptions!$B$22,Assumptions!$B$21*Assumptions!$B$23,0)-Assumptions!$C$18-C26*Assumptions!$C$13-$B26</f>
        <v>-5754.87632166915</v>
      </c>
      <c r="F26" s="41" t="n">
        <f aca="false">F25+E26</f>
        <v>-138657.349888286</v>
      </c>
      <c r="G26" s="43" t="n">
        <f aca="false">IF(AND($A26&gt;=Assumptions!$B$24,E26&gt;=0),1,0)</f>
        <v>0</v>
      </c>
      <c r="H26" s="40" t="n">
        <f aca="false">IF($A26=Assumptions!$B$22,Assumptions!$B$21,IF($A26&lt;Assumptions!$B$24,0,IF($A26&lt;=Assumptions!$B$26,Assumptions!$B$25,IF($A26&lt;=Assumptions!$B$28,Assumptions!$B$27,Assumptions!$B$29))*Assumptions!$D$14))</f>
        <v>6</v>
      </c>
      <c r="I26" s="40" t="n">
        <f aca="false">I25*(1-Assumptions!$D$12)+H26</f>
        <v>68.5699594588999</v>
      </c>
      <c r="J26" s="41" t="n">
        <f aca="false">I26*Assumptions!$D$10*Assumptions!$D$11+IF($A26=Assumptions!$B$22,Assumptions!$B$21*Assumptions!$B$23,0)-Assumptions!$D$18-H26*Assumptions!$D$13-$B26</f>
        <v>-4428.62652029126</v>
      </c>
      <c r="K26" s="41" t="n">
        <f aca="false">K25+J26</f>
        <v>-128841.075843916</v>
      </c>
      <c r="L26" s="43" t="n">
        <f aca="false">IF(AND($A26&gt;=Assumptions!$B$24,J26&gt;=0),1,0)</f>
        <v>0</v>
      </c>
      <c r="M26" s="40" t="n">
        <f aca="false">IF($A26=Assumptions!$B$22,Assumptions!$B$21,IF($A26&lt;Assumptions!$B$24,0,IF($A26&lt;=Assumptions!$B$26,Assumptions!$B$25,IF($A26&lt;=Assumptions!$B$28,Assumptions!$B$27,Assumptions!$B$29))*Assumptions!$E$14))</f>
        <v>9</v>
      </c>
      <c r="N26" s="40" t="n">
        <f aca="false">N25*(1-Assumptions!$E$12)+M26</f>
        <v>107.709891210411</v>
      </c>
      <c r="O26" s="41" t="n">
        <f aca="false">N26*Assumptions!$E$10*Assumptions!$E$11+IF($A26=Assumptions!$B$22,Assumptions!$B$21*Assumptions!$B$23,0)-Assumptions!$E$18-M26*Assumptions!$E$13-$B26</f>
        <v>-2095.23071145341</v>
      </c>
      <c r="P26" s="41" t="n">
        <f aca="false">P25+O26</f>
        <v>-114658.695138783</v>
      </c>
      <c r="Q26" s="43" t="n">
        <f aca="false">IF(AND($A26&gt;=Assumptions!$B$24,O26&gt;=0),1,0)</f>
        <v>0</v>
      </c>
      <c r="R26" s="40" t="n">
        <f aca="false">IF($A26=Assumptions!$B$22,Assumptions!$B$21,IF($A26&lt;Assumptions!$B$24,0,IF($A26&lt;=Assumptions!$B$26,Assumptions!$B$25,IF($A26&lt;=Assumptions!$B$28,Assumptions!$B$27,Assumptions!$B$29))*Assumptions!$F$14))</f>
        <v>6</v>
      </c>
      <c r="S26" s="40" t="n">
        <f aca="false">S25*(1-Assumptions!$F$12)+R26</f>
        <v>68.5699594588999</v>
      </c>
      <c r="T26" s="41" t="n">
        <f aca="false">S26*Assumptions!$F$10*Assumptions!$F$11+IF($A26=Assumptions!$B$22,Assumptions!$B$21*Assumptions!$B$23,0)-Assumptions!$F$18-R26*Assumptions!$F$13-$B26</f>
        <v>-428.626520291256</v>
      </c>
      <c r="U26" s="41" t="n">
        <f aca="false">U25+T26</f>
        <v>-44841.0758439161</v>
      </c>
      <c r="V26" s="43" t="n">
        <f aca="false">IF(AND($A26&gt;=Assumptions!$B$24,T26&gt;=0),1,0)</f>
        <v>0</v>
      </c>
      <c r="W26" s="40" t="n">
        <f aca="false">IF($A26=Assumptions!$B$22,Assumptions!$B$21,IF($A26&lt;Assumptions!$B$24,0,IF($A26&lt;=Assumptions!$B$26,Assumptions!$B$25,IF($A26&lt;=Assumptions!$B$28,Assumptions!$B$27,Assumptions!$B$29))*Assumptions!$G$14))</f>
        <v>6</v>
      </c>
      <c r="X26" s="40" t="n">
        <f aca="false">X25*(1-Assumptions!$G$12)+W26</f>
        <v>68.5699594588999</v>
      </c>
      <c r="Y26" s="41" t="n">
        <f aca="false">X26*Assumptions!$G$10*Assumptions!$G$11+IF($A26=Assumptions!$B$22,Assumptions!$B$21*Assumptions!$B$23,0)-Assumptions!$G$18-W26*Assumptions!$G$13-$B26</f>
        <v>-4428.62652029126</v>
      </c>
      <c r="Z26" s="41" t="n">
        <f aca="false">Z25+Y26</f>
        <v>-128841.075843916</v>
      </c>
      <c r="AA26" s="43" t="n">
        <f aca="false">IF(AND($A26&gt;=Assumptions!$B$24,Y26&gt;=0),1,0)</f>
        <v>0</v>
      </c>
    </row>
    <row r="27" customFormat="false" ht="15" hidden="false" customHeight="false" outlineLevel="0" collapsed="false">
      <c r="A27" s="43" t="n">
        <v>22</v>
      </c>
      <c r="B27" s="41" t="n">
        <f aca="false">SUMIF(Assumptions!$B$33:$B$38,A27,Assumptions!$C$33:$C$38)</f>
        <v>0</v>
      </c>
      <c r="C27" s="40" t="n">
        <f aca="false">IF($A27=Assumptions!$B$22,Assumptions!$B$21,IF($A27&lt;Assumptions!$B$24,0,IF($A27&lt;=Assumptions!$B$26,Assumptions!$B$25,IF($A27&lt;=Assumptions!$B$28,Assumptions!$B$27,Assumptions!$B$29))*Assumptions!$C$14))</f>
        <v>3</v>
      </c>
      <c r="D27" s="40" t="n">
        <f aca="false">D26*(1-Assumptions!$C$12)+C27</f>
        <v>32.9289164804768</v>
      </c>
      <c r="E27" s="41" t="n">
        <f aca="false">D27*Assumptions!$C$10*Assumptions!$C$11+IF($A27=Assumptions!$B$22,Assumptions!$B$21*Assumptions!$B$23,0)-Assumptions!$C$18-C27*Assumptions!$C$13-$B27</f>
        <v>-5712.13250558569</v>
      </c>
      <c r="F27" s="41" t="n">
        <f aca="false">F26+E27</f>
        <v>-144369.482393872</v>
      </c>
      <c r="G27" s="43" t="n">
        <f aca="false">IF(AND($A27&gt;=Assumptions!$B$24,E27&gt;=0),1,0)</f>
        <v>0</v>
      </c>
      <c r="H27" s="40" t="n">
        <f aca="false">IF($A27=Assumptions!$B$22,Assumptions!$B$21,IF($A27&lt;Assumptions!$B$24,0,IF($A27&lt;=Assumptions!$B$26,Assumptions!$B$25,IF($A27&lt;=Assumptions!$B$28,Assumptions!$B$27,Assumptions!$B$29))*Assumptions!$D$14))</f>
        <v>6</v>
      </c>
      <c r="I27" s="40" t="n">
        <f aca="false">I26*(1-Assumptions!$D$12)+H27</f>
        <v>72.5128606751329</v>
      </c>
      <c r="J27" s="41" t="n">
        <f aca="false">I27*Assumptions!$D$10*Assumptions!$D$11+IF($A27=Assumptions!$B$22,Assumptions!$B$21*Assumptions!$B$23,0)-Assumptions!$D$18-H27*Assumptions!$D$13-$B27</f>
        <v>-4280.76772468252</v>
      </c>
      <c r="K27" s="41" t="n">
        <f aca="false">K26+J27</f>
        <v>-133121.843568599</v>
      </c>
      <c r="L27" s="43" t="n">
        <f aca="false">IF(AND($A27&gt;=Assumptions!$B$24,J27&gt;=0),1,0)</f>
        <v>0</v>
      </c>
      <c r="M27" s="40" t="n">
        <f aca="false">IF($A27=Assumptions!$B$22,Assumptions!$B$21,IF($A27&lt;Assumptions!$B$24,0,IF($A27&lt;=Assumptions!$B$26,Assumptions!$B$25,IF($A27&lt;=Assumptions!$B$28,Assumptions!$B$27,Assumptions!$B$29))*Assumptions!$E$14))</f>
        <v>9</v>
      </c>
      <c r="N27" s="40" t="n">
        <f aca="false">N26*(1-Assumptions!$E$12)+M27</f>
        <v>114.555693386203</v>
      </c>
      <c r="O27" s="41" t="n">
        <f aca="false">N27*Assumptions!$E$10*Assumptions!$E$11+IF($A27=Assumptions!$B$22,Assumptions!$B$21*Assumptions!$B$23,0)-Assumptions!$E$18-M27*Assumptions!$E$13-$B27</f>
        <v>-1735.82609722434</v>
      </c>
      <c r="P27" s="41" t="n">
        <f aca="false">P26+O27</f>
        <v>-116394.521236007</v>
      </c>
      <c r="Q27" s="43" t="n">
        <f aca="false">IF(AND($A27&gt;=Assumptions!$B$24,O27&gt;=0),1,0)</f>
        <v>0</v>
      </c>
      <c r="R27" s="40" t="n">
        <f aca="false">IF($A27=Assumptions!$B$22,Assumptions!$B$21,IF($A27&lt;Assumptions!$B$24,0,IF($A27&lt;=Assumptions!$B$26,Assumptions!$B$25,IF($A27&lt;=Assumptions!$B$28,Assumptions!$B$27,Assumptions!$B$29))*Assumptions!$F$14))</f>
        <v>6</v>
      </c>
      <c r="S27" s="40" t="n">
        <f aca="false">S26*(1-Assumptions!$F$12)+R27</f>
        <v>72.5128606751329</v>
      </c>
      <c r="T27" s="41" t="n">
        <f aca="false">S27*Assumptions!$F$10*Assumptions!$F$11+IF($A27=Assumptions!$B$22,Assumptions!$B$21*Assumptions!$B$23,0)-Assumptions!$F$18-R27*Assumptions!$F$13-$B27</f>
        <v>-280.767724682518</v>
      </c>
      <c r="U27" s="41" t="n">
        <f aca="false">U26+T27</f>
        <v>-45121.8435685986</v>
      </c>
      <c r="V27" s="43" t="n">
        <f aca="false">IF(AND($A27&gt;=Assumptions!$B$24,T27&gt;=0),1,0)</f>
        <v>0</v>
      </c>
      <c r="W27" s="40" t="n">
        <f aca="false">IF($A27=Assumptions!$B$22,Assumptions!$B$21,IF($A27&lt;Assumptions!$B$24,0,IF($A27&lt;=Assumptions!$B$26,Assumptions!$B$25,IF($A27&lt;=Assumptions!$B$28,Assumptions!$B$27,Assumptions!$B$29))*Assumptions!$G$14))</f>
        <v>6</v>
      </c>
      <c r="X27" s="40" t="n">
        <f aca="false">X26*(1-Assumptions!$G$12)+W27</f>
        <v>72.5128606751329</v>
      </c>
      <c r="Y27" s="41" t="n">
        <f aca="false">X27*Assumptions!$G$10*Assumptions!$G$11+IF($A27=Assumptions!$B$22,Assumptions!$B$21*Assumptions!$B$23,0)-Assumptions!$G$18-W27*Assumptions!$G$13-$B27</f>
        <v>-4280.76772468252</v>
      </c>
      <c r="Z27" s="41" t="n">
        <f aca="false">Z26+Y27</f>
        <v>-133121.843568599</v>
      </c>
      <c r="AA27" s="43" t="n">
        <f aca="false">IF(AND($A27&gt;=Assumptions!$B$24,Y27&gt;=0),1,0)</f>
        <v>0</v>
      </c>
    </row>
    <row r="28" customFormat="false" ht="15" hidden="false" customHeight="false" outlineLevel="0" collapsed="false">
      <c r="A28" s="43" t="n">
        <v>23</v>
      </c>
      <c r="B28" s="41" t="n">
        <f aca="false">SUMIF(Assumptions!$B$33:$B$38,A28,Assumptions!$C$33:$C$38)</f>
        <v>0</v>
      </c>
      <c r="C28" s="40" t="n">
        <f aca="false">IF($A28=Assumptions!$B$22,Assumptions!$B$21,IF($A28&lt;Assumptions!$B$24,0,IF($A28&lt;=Assumptions!$B$26,Assumptions!$B$25,IF($A28&lt;=Assumptions!$B$28,Assumptions!$B$27,Assumptions!$B$29))*Assumptions!$C$14))</f>
        <v>3</v>
      </c>
      <c r="D28" s="40" t="n">
        <f aca="false">D27*(1-Assumptions!$C$12)+C28</f>
        <v>34.282470656453</v>
      </c>
      <c r="E28" s="41" t="n">
        <f aca="false">D28*Assumptions!$C$10*Assumptions!$C$11+IF($A28=Assumptions!$B$22,Assumptions!$B$21*Assumptions!$B$23,0)-Assumptions!$C$18-C28*Assumptions!$C$13-$B28</f>
        <v>-5671.52588030641</v>
      </c>
      <c r="F28" s="41" t="n">
        <f aca="false">F27+E28</f>
        <v>-150041.008274178</v>
      </c>
      <c r="G28" s="43" t="n">
        <f aca="false">IF(AND($A28&gt;=Assumptions!$B$24,E28&gt;=0),1,0)</f>
        <v>0</v>
      </c>
      <c r="H28" s="40" t="n">
        <f aca="false">IF($A28=Assumptions!$B$22,Assumptions!$B$21,IF($A28&lt;Assumptions!$B$24,0,IF($A28&lt;=Assumptions!$B$26,Assumptions!$B$25,IF($A28&lt;=Assumptions!$B$28,Assumptions!$B$27,Assumptions!$B$29))*Assumptions!$D$14))</f>
        <v>6</v>
      </c>
      <c r="I28" s="40" t="n">
        <f aca="false">I27*(1-Assumptions!$D$12)+H28</f>
        <v>76.3374748548789</v>
      </c>
      <c r="J28" s="41" t="n">
        <f aca="false">I28*Assumptions!$D$10*Assumptions!$D$11+IF($A28=Assumptions!$B$22,Assumptions!$B$21*Assumptions!$B$23,0)-Assumptions!$D$18-H28*Assumptions!$D$13-$B28</f>
        <v>-4137.34469294204</v>
      </c>
      <c r="K28" s="41" t="n">
        <f aca="false">K27+J28</f>
        <v>-137259.188261541</v>
      </c>
      <c r="L28" s="43" t="n">
        <f aca="false">IF(AND($A28&gt;=Assumptions!$B$24,J28&gt;=0),1,0)</f>
        <v>0</v>
      </c>
      <c r="M28" s="40" t="n">
        <f aca="false">IF($A28=Assumptions!$B$22,Assumptions!$B$21,IF($A28&lt;Assumptions!$B$24,0,IF($A28&lt;=Assumptions!$B$26,Assumptions!$B$25,IF($A28&lt;=Assumptions!$B$28,Assumptions!$B$27,Assumptions!$B$29))*Assumptions!$E$14))</f>
        <v>9</v>
      </c>
      <c r="N28" s="40" t="n">
        <f aca="false">N27*(1-Assumptions!$E$12)+M28</f>
        <v>121.264579518479</v>
      </c>
      <c r="O28" s="41" t="n">
        <f aca="false">N28*Assumptions!$E$10*Assumptions!$E$11+IF($A28=Assumptions!$B$22,Assumptions!$B$21*Assumptions!$B$23,0)-Assumptions!$E$18-M28*Assumptions!$E$13-$B28</f>
        <v>-1383.60957527985</v>
      </c>
      <c r="P28" s="41" t="n">
        <f aca="false">P27+O28</f>
        <v>-117778.130811287</v>
      </c>
      <c r="Q28" s="43" t="n">
        <f aca="false">IF(AND($A28&gt;=Assumptions!$B$24,O28&gt;=0),1,0)</f>
        <v>0</v>
      </c>
      <c r="R28" s="40" t="n">
        <f aca="false">IF($A28=Assumptions!$B$22,Assumptions!$B$21,IF($A28&lt;Assumptions!$B$24,0,IF($A28&lt;=Assumptions!$B$26,Assumptions!$B$25,IF($A28&lt;=Assumptions!$B$28,Assumptions!$B$27,Assumptions!$B$29))*Assumptions!$F$14))</f>
        <v>6</v>
      </c>
      <c r="S28" s="40" t="n">
        <f aca="false">S27*(1-Assumptions!$F$12)+R28</f>
        <v>76.3374748548789</v>
      </c>
      <c r="T28" s="41" t="n">
        <f aca="false">S28*Assumptions!$F$10*Assumptions!$F$11+IF($A28=Assumptions!$B$22,Assumptions!$B$21*Assumptions!$B$23,0)-Assumptions!$F$18-R28*Assumptions!$F$13-$B28</f>
        <v>-137.344692942042</v>
      </c>
      <c r="U28" s="41" t="n">
        <f aca="false">U27+T28</f>
        <v>-45259.1882615406</v>
      </c>
      <c r="V28" s="43" t="n">
        <f aca="false">IF(AND($A28&gt;=Assumptions!$B$24,T28&gt;=0),1,0)</f>
        <v>0</v>
      </c>
      <c r="W28" s="40" t="n">
        <f aca="false">IF($A28=Assumptions!$B$22,Assumptions!$B$21,IF($A28&lt;Assumptions!$B$24,0,IF($A28&lt;=Assumptions!$B$26,Assumptions!$B$25,IF($A28&lt;=Assumptions!$B$28,Assumptions!$B$27,Assumptions!$B$29))*Assumptions!$G$14))</f>
        <v>6</v>
      </c>
      <c r="X28" s="40" t="n">
        <f aca="false">X27*(1-Assumptions!$G$12)+W28</f>
        <v>76.3374748548789</v>
      </c>
      <c r="Y28" s="41" t="n">
        <f aca="false">X28*Assumptions!$G$10*Assumptions!$G$11+IF($A28=Assumptions!$B$22,Assumptions!$B$21*Assumptions!$B$23,0)-Assumptions!$G$18-W28*Assumptions!$G$13-$B28</f>
        <v>-4137.34469294204</v>
      </c>
      <c r="Z28" s="41" t="n">
        <f aca="false">Z27+Y28</f>
        <v>-137259.188261541</v>
      </c>
      <c r="AA28" s="43" t="n">
        <f aca="false">IF(AND($A28&gt;=Assumptions!$B$24,Y28&gt;=0),1,0)</f>
        <v>0</v>
      </c>
    </row>
    <row r="29" customFormat="false" ht="15" hidden="false" customHeight="false" outlineLevel="0" collapsed="false">
      <c r="A29" s="43" t="n">
        <v>24</v>
      </c>
      <c r="B29" s="41" t="n">
        <f aca="false">SUMIF(Assumptions!$B$33:$B$38,A29,Assumptions!$C$33:$C$38)</f>
        <v>0</v>
      </c>
      <c r="C29" s="40" t="n">
        <f aca="false">IF($A29=Assumptions!$B$22,Assumptions!$B$21,IF($A29&lt;Assumptions!$B$24,0,IF($A29&lt;=Assumptions!$B$26,Assumptions!$B$25,IF($A29&lt;=Assumptions!$B$28,Assumptions!$B$27,Assumptions!$B$29))*Assumptions!$C$14))</f>
        <v>3</v>
      </c>
      <c r="D29" s="40" t="n">
        <f aca="false">D28*(1-Assumptions!$C$12)+C29</f>
        <v>35.5683471236303</v>
      </c>
      <c r="E29" s="41" t="n">
        <f aca="false">D29*Assumptions!$C$10*Assumptions!$C$11+IF($A29=Assumptions!$B$22,Assumptions!$B$21*Assumptions!$B$23,0)-Assumptions!$C$18-C29*Assumptions!$C$13-$B29</f>
        <v>-5632.94958629109</v>
      </c>
      <c r="F29" s="41" t="n">
        <f aca="false">F28+E29</f>
        <v>-155673.957860469</v>
      </c>
      <c r="G29" s="43" t="n">
        <f aca="false">IF(AND($A29&gt;=Assumptions!$B$24,E29&gt;=0),1,0)</f>
        <v>0</v>
      </c>
      <c r="H29" s="40" t="n">
        <f aca="false">IF($A29=Assumptions!$B$22,Assumptions!$B$21,IF($A29&lt;Assumptions!$B$24,0,IF($A29&lt;=Assumptions!$B$26,Assumptions!$B$25,IF($A29&lt;=Assumptions!$B$28,Assumptions!$B$27,Assumptions!$B$29))*Assumptions!$D$14))</f>
        <v>6</v>
      </c>
      <c r="I29" s="40" t="n">
        <f aca="false">I28*(1-Assumptions!$D$12)+H29</f>
        <v>80.0473506092325</v>
      </c>
      <c r="J29" s="41" t="n">
        <f aca="false">I29*Assumptions!$D$10*Assumptions!$D$11+IF($A29=Assumptions!$B$22,Assumptions!$B$21*Assumptions!$B$23,0)-Assumptions!$D$18-H29*Assumptions!$D$13-$B29</f>
        <v>-3998.22435215378</v>
      </c>
      <c r="K29" s="41" t="n">
        <f aca="false">K28+J29</f>
        <v>-141257.412613694</v>
      </c>
      <c r="L29" s="43" t="n">
        <f aca="false">IF(AND($A29&gt;=Assumptions!$B$24,J29&gt;=0),1,0)</f>
        <v>0</v>
      </c>
      <c r="M29" s="40" t="n">
        <f aca="false">IF($A29=Assumptions!$B$22,Assumptions!$B$21,IF($A29&lt;Assumptions!$B$24,0,IF($A29&lt;=Assumptions!$B$26,Assumptions!$B$25,IF($A29&lt;=Assumptions!$B$28,Assumptions!$B$27,Assumptions!$B$29))*Assumptions!$E$14))</f>
        <v>9</v>
      </c>
      <c r="N29" s="40" t="n">
        <f aca="false">N28*(1-Assumptions!$E$12)+M29</f>
        <v>127.839287928109</v>
      </c>
      <c r="O29" s="41" t="n">
        <f aca="false">N29*Assumptions!$E$10*Assumptions!$E$11+IF($A29=Assumptions!$B$22,Assumptions!$B$21*Assumptions!$B$23,0)-Assumptions!$E$18-M29*Assumptions!$E$13-$B29</f>
        <v>-1038.43738377426</v>
      </c>
      <c r="P29" s="41" t="n">
        <f aca="false">P28+O29</f>
        <v>-118816.568195062</v>
      </c>
      <c r="Q29" s="43" t="n">
        <f aca="false">IF(AND($A29&gt;=Assumptions!$B$24,O29&gt;=0),1,0)</f>
        <v>0</v>
      </c>
      <c r="R29" s="40" t="n">
        <f aca="false">IF($A29=Assumptions!$B$22,Assumptions!$B$21,IF($A29&lt;Assumptions!$B$24,0,IF($A29&lt;=Assumptions!$B$26,Assumptions!$B$25,IF($A29&lt;=Assumptions!$B$28,Assumptions!$B$27,Assumptions!$B$29))*Assumptions!$F$14))</f>
        <v>6</v>
      </c>
      <c r="S29" s="40" t="n">
        <f aca="false">S28*(1-Assumptions!$F$12)+R29</f>
        <v>80.0473506092325</v>
      </c>
      <c r="T29" s="41" t="n">
        <f aca="false">S29*Assumptions!$F$10*Assumptions!$F$11+IF($A29=Assumptions!$B$22,Assumptions!$B$21*Assumptions!$B$23,0)-Assumptions!$F$18-R29*Assumptions!$F$13-$B29</f>
        <v>1.77564784621882</v>
      </c>
      <c r="U29" s="41" t="n">
        <f aca="false">U28+T29</f>
        <v>-45257.4126136944</v>
      </c>
      <c r="V29" s="43" t="n">
        <f aca="false">IF(AND($A29&gt;=Assumptions!$B$24,T29&gt;=0),1,0)</f>
        <v>1</v>
      </c>
      <c r="W29" s="40" t="n">
        <f aca="false">IF($A29=Assumptions!$B$22,Assumptions!$B$21,IF($A29&lt;Assumptions!$B$24,0,IF($A29&lt;=Assumptions!$B$26,Assumptions!$B$25,IF($A29&lt;=Assumptions!$B$28,Assumptions!$B$27,Assumptions!$B$29))*Assumptions!$G$14))</f>
        <v>6</v>
      </c>
      <c r="X29" s="40" t="n">
        <f aca="false">X28*(1-Assumptions!$G$12)+W29</f>
        <v>80.0473506092325</v>
      </c>
      <c r="Y29" s="41" t="n">
        <f aca="false">X29*Assumptions!$G$10*Assumptions!$G$11+IF($A29=Assumptions!$B$22,Assumptions!$B$21*Assumptions!$B$23,0)-Assumptions!$G$18-W29*Assumptions!$G$13-$B29</f>
        <v>-3998.22435215378</v>
      </c>
      <c r="Z29" s="41" t="n">
        <f aca="false">Z28+Y29</f>
        <v>-141257.412613694</v>
      </c>
      <c r="AA29" s="43" t="n">
        <f aca="false">IF(AND($A29&gt;=Assumptions!$B$24,Y29&gt;=0),1,0)</f>
        <v>0</v>
      </c>
    </row>
    <row r="30" customFormat="false" ht="15" hidden="false" customHeight="false" outlineLevel="0" collapsed="false">
      <c r="A30" s="43" t="n">
        <v>25</v>
      </c>
      <c r="B30" s="41" t="n">
        <f aca="false">SUMIF(Assumptions!$B$33:$B$38,A30,Assumptions!$C$33:$C$38)</f>
        <v>0</v>
      </c>
      <c r="C30" s="40" t="n">
        <f aca="false">IF($A30=Assumptions!$B$22,Assumptions!$B$21,IF($A30&lt;Assumptions!$B$24,0,IF($A30&lt;=Assumptions!$B$26,Assumptions!$B$25,IF($A30&lt;=Assumptions!$B$28,Assumptions!$B$27,Assumptions!$B$29))*Assumptions!$C$14))</f>
        <v>4</v>
      </c>
      <c r="D30" s="40" t="n">
        <f aca="false">D29*(1-Assumptions!$C$12)+C30</f>
        <v>37.7899297674488</v>
      </c>
      <c r="E30" s="41" t="n">
        <f aca="false">D30*Assumptions!$C$10*Assumptions!$C$11+IF($A30=Assumptions!$B$22,Assumptions!$B$21*Assumptions!$B$23,0)-Assumptions!$C$18-C30*Assumptions!$C$13-$B30</f>
        <v>-5966.30210697654</v>
      </c>
      <c r="F30" s="41" t="n">
        <f aca="false">F29+E30</f>
        <v>-161640.259967446</v>
      </c>
      <c r="G30" s="43" t="n">
        <f aca="false">IF(AND($A30&gt;=Assumptions!$B$24,E30&gt;=0),1,0)</f>
        <v>0</v>
      </c>
      <c r="H30" s="40" t="n">
        <f aca="false">IF($A30=Assumptions!$B$22,Assumptions!$B$21,IF($A30&lt;Assumptions!$B$24,0,IF($A30&lt;=Assumptions!$B$26,Assumptions!$B$25,IF($A30&lt;=Assumptions!$B$28,Assumptions!$B$27,Assumptions!$B$29))*Assumptions!$D$14))</f>
        <v>8</v>
      </c>
      <c r="I30" s="40" t="n">
        <f aca="false">I29*(1-Assumptions!$D$12)+H30</f>
        <v>85.6459300909555</v>
      </c>
      <c r="J30" s="41" t="n">
        <f aca="false">I30*Assumptions!$D$10*Assumptions!$D$11+IF($A30=Assumptions!$B$22,Assumptions!$B$21*Assumptions!$B$23,0)-Assumptions!$D$18-H30*Assumptions!$D$13-$B30</f>
        <v>-4288.27762158917</v>
      </c>
      <c r="K30" s="41" t="n">
        <f aca="false">K29+J30</f>
        <v>-145545.690235284</v>
      </c>
      <c r="L30" s="43" t="n">
        <f aca="false">IF(AND($A30&gt;=Assumptions!$B$24,J30&gt;=0),1,0)</f>
        <v>0</v>
      </c>
      <c r="M30" s="40" t="n">
        <f aca="false">IF($A30=Assumptions!$B$22,Assumptions!$B$21,IF($A30&lt;Assumptions!$B$24,0,IF($A30&lt;=Assumptions!$B$26,Assumptions!$B$25,IF($A30&lt;=Assumptions!$B$28,Assumptions!$B$27,Assumptions!$B$29))*Assumptions!$E$14))</f>
        <v>12</v>
      </c>
      <c r="N30" s="40" t="n">
        <f aca="false">N29*(1-Assumptions!$E$12)+M30</f>
        <v>137.282502169547</v>
      </c>
      <c r="O30" s="41" t="n">
        <f aca="false">N30*Assumptions!$E$10*Assumptions!$E$11+IF($A30=Assumptions!$B$22,Assumptions!$B$21*Assumptions!$B$23,0)-Assumptions!$E$18-M30*Assumptions!$E$13-$B30</f>
        <v>-1292.66863609877</v>
      </c>
      <c r="P30" s="41" t="n">
        <f aca="false">P29+O30</f>
        <v>-120109.23683116</v>
      </c>
      <c r="Q30" s="43" t="n">
        <f aca="false">IF(AND($A30&gt;=Assumptions!$B$24,O30&gt;=0),1,0)</f>
        <v>0</v>
      </c>
      <c r="R30" s="40" t="n">
        <f aca="false">IF($A30=Assumptions!$B$22,Assumptions!$B$21,IF($A30&lt;Assumptions!$B$24,0,IF($A30&lt;=Assumptions!$B$26,Assumptions!$B$25,IF($A30&lt;=Assumptions!$B$28,Assumptions!$B$27,Assumptions!$B$29))*Assumptions!$F$14))</f>
        <v>8</v>
      </c>
      <c r="S30" s="40" t="n">
        <f aca="false">S29*(1-Assumptions!$F$12)+R30</f>
        <v>85.6459300909555</v>
      </c>
      <c r="T30" s="41" t="n">
        <f aca="false">S30*Assumptions!$F$10*Assumptions!$F$11+IF($A30=Assumptions!$B$22,Assumptions!$B$21*Assumptions!$B$23,0)-Assumptions!$F$18-R30*Assumptions!$F$13-$B30</f>
        <v>-288.277621589168</v>
      </c>
      <c r="U30" s="41" t="n">
        <f aca="false">U29+T30</f>
        <v>-45545.6902352836</v>
      </c>
      <c r="V30" s="43" t="n">
        <f aca="false">IF(AND($A30&gt;=Assumptions!$B$24,T30&gt;=0),1,0)</f>
        <v>0</v>
      </c>
      <c r="W30" s="40" t="n">
        <f aca="false">IF($A30=Assumptions!$B$22,Assumptions!$B$21,IF($A30&lt;Assumptions!$B$24,0,IF($A30&lt;=Assumptions!$B$26,Assumptions!$B$25,IF($A30&lt;=Assumptions!$B$28,Assumptions!$B$27,Assumptions!$B$29))*Assumptions!$G$14))</f>
        <v>8</v>
      </c>
      <c r="X30" s="40" t="n">
        <f aca="false">X29*(1-Assumptions!$G$12)+W30</f>
        <v>85.6459300909555</v>
      </c>
      <c r="Y30" s="41" t="n">
        <f aca="false">X30*Assumptions!$G$10*Assumptions!$G$11+IF($A30=Assumptions!$B$22,Assumptions!$B$21*Assumptions!$B$23,0)-Assumptions!$G$18-W30*Assumptions!$G$13-$B30</f>
        <v>-4288.27762158917</v>
      </c>
      <c r="Z30" s="41" t="n">
        <f aca="false">Z29+Y30</f>
        <v>-145545.690235284</v>
      </c>
      <c r="AA30" s="43" t="n">
        <f aca="false">IF(AND($A30&gt;=Assumptions!$B$24,Y30&gt;=0),1,0)</f>
        <v>0</v>
      </c>
    </row>
    <row r="31" customFormat="false" ht="15" hidden="false" customHeight="false" outlineLevel="0" collapsed="false">
      <c r="A31" s="43" t="n">
        <v>26</v>
      </c>
      <c r="B31" s="41" t="n">
        <f aca="false">SUMIF(Assumptions!$B$33:$B$38,A31,Assumptions!$C$33:$C$38)</f>
        <v>0</v>
      </c>
      <c r="C31" s="40" t="n">
        <f aca="false">IF($A31=Assumptions!$B$22,Assumptions!$B$21,IF($A31&lt;Assumptions!$B$24,0,IF($A31&lt;=Assumptions!$B$26,Assumptions!$B$25,IF($A31&lt;=Assumptions!$B$28,Assumptions!$B$27,Assumptions!$B$29))*Assumptions!$C$14))</f>
        <v>4</v>
      </c>
      <c r="D31" s="40" t="n">
        <f aca="false">D30*(1-Assumptions!$C$12)+C31</f>
        <v>39.9004332790764</v>
      </c>
      <c r="E31" s="41" t="n">
        <f aca="false">D31*Assumptions!$C$10*Assumptions!$C$11+IF($A31=Assumptions!$B$22,Assumptions!$B$21*Assumptions!$B$23,0)-Assumptions!$C$18-C31*Assumptions!$C$13-$B31</f>
        <v>-5902.98700162771</v>
      </c>
      <c r="F31" s="41" t="n">
        <f aca="false">F30+E31</f>
        <v>-167543.246969074</v>
      </c>
      <c r="G31" s="43" t="n">
        <f aca="false">IF(AND($A31&gt;=Assumptions!$B$24,E31&gt;=0),1,0)</f>
        <v>0</v>
      </c>
      <c r="H31" s="40" t="n">
        <f aca="false">IF($A31=Assumptions!$B$22,Assumptions!$B$21,IF($A31&lt;Assumptions!$B$24,0,IF($A31&lt;=Assumptions!$B$26,Assumptions!$B$25,IF($A31&lt;=Assumptions!$B$28,Assumptions!$B$27,Assumptions!$B$29))*Assumptions!$D$14))</f>
        <v>8</v>
      </c>
      <c r="I31" s="40" t="n">
        <f aca="false">I30*(1-Assumptions!$D$12)+H31</f>
        <v>91.0765521882269</v>
      </c>
      <c r="J31" s="41" t="n">
        <f aca="false">I31*Assumptions!$D$10*Assumptions!$D$11+IF($A31=Assumptions!$B$22,Assumptions!$B$21*Assumptions!$B$23,0)-Assumptions!$D$18-H31*Assumptions!$D$13-$B31</f>
        <v>-4084.62929294149</v>
      </c>
      <c r="K31" s="41" t="n">
        <f aca="false">K30+J31</f>
        <v>-149630.319528225</v>
      </c>
      <c r="L31" s="43" t="n">
        <f aca="false">IF(AND($A31&gt;=Assumptions!$B$24,J31&gt;=0),1,0)</f>
        <v>0</v>
      </c>
      <c r="M31" s="40" t="n">
        <f aca="false">IF($A31=Assumptions!$B$22,Assumptions!$B$21,IF($A31&lt;Assumptions!$B$24,0,IF($A31&lt;=Assumptions!$B$26,Assumptions!$B$25,IF($A31&lt;=Assumptions!$B$28,Assumptions!$B$27,Assumptions!$B$29))*Assumptions!$E$14))</f>
        <v>12</v>
      </c>
      <c r="N31" s="40" t="n">
        <f aca="false">N30*(1-Assumptions!$E$12)+M31</f>
        <v>146.536852126156</v>
      </c>
      <c r="O31" s="41" t="n">
        <f aca="false">N31*Assumptions!$E$10*Assumptions!$E$11+IF($A31=Assumptions!$B$22,Assumptions!$B$21*Assumptions!$B$23,0)-Assumptions!$E$18-M31*Assumptions!$E$13-$B31</f>
        <v>-806.815263376796</v>
      </c>
      <c r="P31" s="41" t="n">
        <f aca="false">P30+O31</f>
        <v>-120916.052094537</v>
      </c>
      <c r="Q31" s="43" t="n">
        <f aca="false">IF(AND($A31&gt;=Assumptions!$B$24,O31&gt;=0),1,0)</f>
        <v>0</v>
      </c>
      <c r="R31" s="40" t="n">
        <f aca="false">IF($A31=Assumptions!$B$22,Assumptions!$B$21,IF($A31&lt;Assumptions!$B$24,0,IF($A31&lt;=Assumptions!$B$26,Assumptions!$B$25,IF($A31&lt;=Assumptions!$B$28,Assumptions!$B$27,Assumptions!$B$29))*Assumptions!$F$14))</f>
        <v>8</v>
      </c>
      <c r="S31" s="40" t="n">
        <f aca="false">S30*(1-Assumptions!$F$12)+R31</f>
        <v>91.0765521882269</v>
      </c>
      <c r="T31" s="41" t="n">
        <f aca="false">S31*Assumptions!$F$10*Assumptions!$F$11+IF($A31=Assumptions!$B$22,Assumptions!$B$21*Assumptions!$B$23,0)-Assumptions!$F$18-R31*Assumptions!$F$13-$B31</f>
        <v>-84.6292929414931</v>
      </c>
      <c r="U31" s="41" t="n">
        <f aca="false">U30+T31</f>
        <v>-45630.3195282251</v>
      </c>
      <c r="V31" s="43" t="n">
        <f aca="false">IF(AND($A31&gt;=Assumptions!$B$24,T31&gt;=0),1,0)</f>
        <v>0</v>
      </c>
      <c r="W31" s="40" t="n">
        <f aca="false">IF($A31=Assumptions!$B$22,Assumptions!$B$21,IF($A31&lt;Assumptions!$B$24,0,IF($A31&lt;=Assumptions!$B$26,Assumptions!$B$25,IF($A31&lt;=Assumptions!$B$28,Assumptions!$B$27,Assumptions!$B$29))*Assumptions!$G$14))</f>
        <v>8</v>
      </c>
      <c r="X31" s="40" t="n">
        <f aca="false">X30*(1-Assumptions!$G$12)+W31</f>
        <v>91.0765521882269</v>
      </c>
      <c r="Y31" s="41" t="n">
        <f aca="false">X31*Assumptions!$G$10*Assumptions!$G$11+IF($A31=Assumptions!$B$22,Assumptions!$B$21*Assumptions!$B$23,0)-Assumptions!$G$18-W31*Assumptions!$G$13-$B31</f>
        <v>-4084.62929294149</v>
      </c>
      <c r="Z31" s="41" t="n">
        <f aca="false">Z30+Y31</f>
        <v>-149630.319528225</v>
      </c>
      <c r="AA31" s="43" t="n">
        <f aca="false">IF(AND($A31&gt;=Assumptions!$B$24,Y31&gt;=0),1,0)</f>
        <v>0</v>
      </c>
    </row>
    <row r="32" customFormat="false" ht="15" hidden="false" customHeight="false" outlineLevel="0" collapsed="false">
      <c r="A32" s="43" t="n">
        <v>27</v>
      </c>
      <c r="B32" s="41" t="n">
        <f aca="false">SUMIF(Assumptions!$B$33:$B$38,A32,Assumptions!$C$33:$C$38)</f>
        <v>0</v>
      </c>
      <c r="C32" s="40" t="n">
        <f aca="false">IF($A32=Assumptions!$B$22,Assumptions!$B$21,IF($A32&lt;Assumptions!$B$24,0,IF($A32&lt;=Assumptions!$B$26,Assumptions!$B$25,IF($A32&lt;=Assumptions!$B$28,Assumptions!$B$27,Assumptions!$B$29))*Assumptions!$C$14))</f>
        <v>4</v>
      </c>
      <c r="D32" s="40" t="n">
        <f aca="false">D31*(1-Assumptions!$C$12)+C32</f>
        <v>41.9054116151226</v>
      </c>
      <c r="E32" s="41" t="n">
        <f aca="false">D32*Assumptions!$C$10*Assumptions!$C$11+IF($A32=Assumptions!$B$22,Assumptions!$B$21*Assumptions!$B$23,0)-Assumptions!$C$18-C32*Assumptions!$C$13-$B32</f>
        <v>-5842.83765154632</v>
      </c>
      <c r="F32" s="41" t="n">
        <f aca="false">F31+E32</f>
        <v>-173386.08462062</v>
      </c>
      <c r="G32" s="43" t="n">
        <f aca="false">IF(AND($A32&gt;=Assumptions!$B$24,E32&gt;=0),1,0)</f>
        <v>0</v>
      </c>
      <c r="H32" s="40" t="n">
        <f aca="false">IF($A32=Assumptions!$B$22,Assumptions!$B$21,IF($A32&lt;Assumptions!$B$24,0,IF($A32&lt;=Assumptions!$B$26,Assumptions!$B$25,IF($A32&lt;=Assumptions!$B$28,Assumptions!$B$27,Assumptions!$B$29))*Assumptions!$D$14))</f>
        <v>8</v>
      </c>
      <c r="I32" s="40" t="n">
        <f aca="false">I31*(1-Assumptions!$D$12)+H32</f>
        <v>96.3442556225801</v>
      </c>
      <c r="J32" s="41" t="n">
        <f aca="false">I32*Assumptions!$D$10*Assumptions!$D$11+IF($A32=Assumptions!$B$22,Assumptions!$B$21*Assumptions!$B$23,0)-Assumptions!$D$18-H32*Assumptions!$D$13-$B32</f>
        <v>-3887.09041415325</v>
      </c>
      <c r="K32" s="41" t="n">
        <f aca="false">K31+J32</f>
        <v>-153517.409942378</v>
      </c>
      <c r="L32" s="43" t="n">
        <f aca="false">IF(AND($A32&gt;=Assumptions!$B$24,J32&gt;=0),1,0)</f>
        <v>0</v>
      </c>
      <c r="M32" s="40" t="n">
        <f aca="false">IF($A32=Assumptions!$B$22,Assumptions!$B$21,IF($A32&lt;Assumptions!$B$24,0,IF($A32&lt;=Assumptions!$B$26,Assumptions!$B$25,IF($A32&lt;=Assumptions!$B$28,Assumptions!$B$27,Assumptions!$B$29))*Assumptions!$E$14))</f>
        <v>12</v>
      </c>
      <c r="N32" s="40" t="n">
        <f aca="false">N31*(1-Assumptions!$E$12)+M32</f>
        <v>155.606115083633</v>
      </c>
      <c r="O32" s="41" t="n">
        <f aca="false">N32*Assumptions!$E$10*Assumptions!$E$11+IF($A32=Assumptions!$B$22,Assumptions!$B$21*Assumptions!$B$23,0)-Assumptions!$E$18-M32*Assumptions!$E$13-$B32</f>
        <v>-330.67895810926</v>
      </c>
      <c r="P32" s="41" t="n">
        <f aca="false">P31+O32</f>
        <v>-121246.731052646</v>
      </c>
      <c r="Q32" s="43" t="n">
        <f aca="false">IF(AND($A32&gt;=Assumptions!$B$24,O32&gt;=0),1,0)</f>
        <v>0</v>
      </c>
      <c r="R32" s="40" t="n">
        <f aca="false">IF($A32=Assumptions!$B$22,Assumptions!$B$21,IF($A32&lt;Assumptions!$B$24,0,IF($A32&lt;=Assumptions!$B$26,Assumptions!$B$25,IF($A32&lt;=Assumptions!$B$28,Assumptions!$B$27,Assumptions!$B$29))*Assumptions!$F$14))</f>
        <v>8</v>
      </c>
      <c r="S32" s="40" t="n">
        <f aca="false">S31*(1-Assumptions!$F$12)+R32</f>
        <v>96.3442556225801</v>
      </c>
      <c r="T32" s="41" t="n">
        <f aca="false">S32*Assumptions!$F$10*Assumptions!$F$11+IF($A32=Assumptions!$B$22,Assumptions!$B$21*Assumptions!$B$23,0)-Assumptions!$F$18-R32*Assumptions!$F$13-$B32</f>
        <v>112.909585846752</v>
      </c>
      <c r="U32" s="41" t="n">
        <f aca="false">U31+T32</f>
        <v>-45517.4099423783</v>
      </c>
      <c r="V32" s="43" t="n">
        <f aca="false">IF(AND($A32&gt;=Assumptions!$B$24,T32&gt;=0),1,0)</f>
        <v>1</v>
      </c>
      <c r="W32" s="40" t="n">
        <f aca="false">IF($A32=Assumptions!$B$22,Assumptions!$B$21,IF($A32&lt;Assumptions!$B$24,0,IF($A32&lt;=Assumptions!$B$26,Assumptions!$B$25,IF($A32&lt;=Assumptions!$B$28,Assumptions!$B$27,Assumptions!$B$29))*Assumptions!$G$14))</f>
        <v>8</v>
      </c>
      <c r="X32" s="40" t="n">
        <f aca="false">X31*(1-Assumptions!$G$12)+W32</f>
        <v>96.3442556225801</v>
      </c>
      <c r="Y32" s="41" t="n">
        <f aca="false">X32*Assumptions!$G$10*Assumptions!$G$11+IF($A32=Assumptions!$B$22,Assumptions!$B$21*Assumptions!$B$23,0)-Assumptions!$G$18-W32*Assumptions!$G$13-$B32</f>
        <v>-3887.09041415325</v>
      </c>
      <c r="Z32" s="41" t="n">
        <f aca="false">Z31+Y32</f>
        <v>-153517.409942378</v>
      </c>
      <c r="AA32" s="43" t="n">
        <f aca="false">IF(AND($A32&gt;=Assumptions!$B$24,Y32&gt;=0),1,0)</f>
        <v>0</v>
      </c>
    </row>
    <row r="33" customFormat="false" ht="15" hidden="false" customHeight="false" outlineLevel="0" collapsed="false">
      <c r="A33" s="43" t="n">
        <v>28</v>
      </c>
      <c r="B33" s="41" t="n">
        <f aca="false">SUMIF(Assumptions!$B$33:$B$38,A33,Assumptions!$C$33:$C$38)</f>
        <v>0</v>
      </c>
      <c r="C33" s="40" t="n">
        <f aca="false">IF($A33=Assumptions!$B$22,Assumptions!$B$21,IF($A33&lt;Assumptions!$B$24,0,IF($A33&lt;=Assumptions!$B$26,Assumptions!$B$25,IF($A33&lt;=Assumptions!$B$28,Assumptions!$B$27,Assumptions!$B$29))*Assumptions!$C$14))</f>
        <v>4</v>
      </c>
      <c r="D33" s="40" t="n">
        <f aca="false">D32*(1-Assumptions!$C$12)+C33</f>
        <v>43.8101410343664</v>
      </c>
      <c r="E33" s="41" t="n">
        <f aca="false">D33*Assumptions!$C$10*Assumptions!$C$11+IF($A33=Assumptions!$B$22,Assumptions!$B$21*Assumptions!$B$23,0)-Assumptions!$C$18-C33*Assumptions!$C$13-$B33</f>
        <v>-5785.69576896901</v>
      </c>
      <c r="F33" s="41" t="n">
        <f aca="false">F32+E33</f>
        <v>-179171.780389589</v>
      </c>
      <c r="G33" s="43" t="n">
        <f aca="false">IF(AND($A33&gt;=Assumptions!$B$24,E33&gt;=0),1,0)</f>
        <v>0</v>
      </c>
      <c r="H33" s="40" t="n">
        <f aca="false">IF($A33=Assumptions!$B$22,Assumptions!$B$21,IF($A33&lt;Assumptions!$B$24,0,IF($A33&lt;=Assumptions!$B$26,Assumptions!$B$25,IF($A33&lt;=Assumptions!$B$28,Assumptions!$B$27,Assumptions!$B$29))*Assumptions!$D$14))</f>
        <v>8</v>
      </c>
      <c r="I33" s="40" t="n">
        <f aca="false">I32*(1-Assumptions!$D$12)+H33</f>
        <v>101.453927953903</v>
      </c>
      <c r="J33" s="41" t="n">
        <f aca="false">I33*Assumptions!$D$10*Assumptions!$D$11+IF($A33=Assumptions!$B$22,Assumptions!$B$21*Assumptions!$B$23,0)-Assumptions!$D$18-H33*Assumptions!$D$13-$B33</f>
        <v>-3695.47770172865</v>
      </c>
      <c r="K33" s="41" t="n">
        <f aca="false">K32+J33</f>
        <v>-157212.887644107</v>
      </c>
      <c r="L33" s="43" t="n">
        <f aca="false">IF(AND($A33&gt;=Assumptions!$B$24,J33&gt;=0),1,0)</f>
        <v>0</v>
      </c>
      <c r="M33" s="40" t="n">
        <f aca="false">IF($A33=Assumptions!$B$22,Assumptions!$B$21,IF($A33&lt;Assumptions!$B$24,0,IF($A33&lt;=Assumptions!$B$26,Assumptions!$B$25,IF($A33&lt;=Assumptions!$B$28,Assumptions!$B$27,Assumptions!$B$29))*Assumptions!$E$14))</f>
        <v>12</v>
      </c>
      <c r="N33" s="40" t="n">
        <f aca="false">N32*(1-Assumptions!$E$12)+M33</f>
        <v>164.493992781961</v>
      </c>
      <c r="O33" s="41" t="n">
        <f aca="false">N33*Assumptions!$E$10*Assumptions!$E$11+IF($A33=Assumptions!$B$22,Assumptions!$B$21*Assumptions!$B$23,0)-Assumptions!$E$18-M33*Assumptions!$E$13-$B33</f>
        <v>135.934621052926</v>
      </c>
      <c r="P33" s="41" t="n">
        <f aca="false">P32+O33</f>
        <v>-121110.796431593</v>
      </c>
      <c r="Q33" s="43" t="n">
        <f aca="false">IF(AND($A33&gt;=Assumptions!$B$24,O33&gt;=0),1,0)</f>
        <v>1</v>
      </c>
      <c r="R33" s="40" t="n">
        <f aca="false">IF($A33=Assumptions!$B$22,Assumptions!$B$21,IF($A33&lt;Assumptions!$B$24,0,IF($A33&lt;=Assumptions!$B$26,Assumptions!$B$25,IF($A33&lt;=Assumptions!$B$28,Assumptions!$B$27,Assumptions!$B$29))*Assumptions!$F$14))</f>
        <v>8</v>
      </c>
      <c r="S33" s="40" t="n">
        <f aca="false">S32*(1-Assumptions!$F$12)+R33</f>
        <v>101.453927953903</v>
      </c>
      <c r="T33" s="41" t="n">
        <f aca="false">S33*Assumptions!$F$10*Assumptions!$F$11+IF($A33=Assumptions!$B$22,Assumptions!$B$21*Assumptions!$B$23,0)-Assumptions!$F$18-R33*Assumptions!$F$13-$B33</f>
        <v>304.522298271349</v>
      </c>
      <c r="U33" s="41" t="n">
        <f aca="false">U32+T33</f>
        <v>-45212.887644107</v>
      </c>
      <c r="V33" s="43" t="n">
        <f aca="false">IF(AND($A33&gt;=Assumptions!$B$24,T33&gt;=0),1,0)</f>
        <v>1</v>
      </c>
      <c r="W33" s="40" t="n">
        <f aca="false">IF($A33=Assumptions!$B$22,Assumptions!$B$21,IF($A33&lt;Assumptions!$B$24,0,IF($A33&lt;=Assumptions!$B$26,Assumptions!$B$25,IF($A33&lt;=Assumptions!$B$28,Assumptions!$B$27,Assumptions!$B$29))*Assumptions!$G$14))</f>
        <v>8</v>
      </c>
      <c r="X33" s="40" t="n">
        <f aca="false">X32*(1-Assumptions!$G$12)+W33</f>
        <v>101.453927953903</v>
      </c>
      <c r="Y33" s="41" t="n">
        <f aca="false">X33*Assumptions!$G$10*Assumptions!$G$11+IF($A33=Assumptions!$B$22,Assumptions!$B$21*Assumptions!$B$23,0)-Assumptions!$G$18-W33*Assumptions!$G$13-$B33</f>
        <v>-3695.47770172865</v>
      </c>
      <c r="Z33" s="41" t="n">
        <f aca="false">Z32+Y33</f>
        <v>-157212.887644107</v>
      </c>
      <c r="AA33" s="43" t="n">
        <f aca="false">IF(AND($A33&gt;=Assumptions!$B$24,Y33&gt;=0),1,0)</f>
        <v>0</v>
      </c>
    </row>
    <row r="34" customFormat="false" ht="15" hidden="false" customHeight="false" outlineLevel="0" collapsed="false">
      <c r="A34" s="43" t="n">
        <v>29</v>
      </c>
      <c r="B34" s="41" t="n">
        <f aca="false">SUMIF(Assumptions!$B$33:$B$38,A34,Assumptions!$C$33:$C$38)</f>
        <v>0</v>
      </c>
      <c r="C34" s="40" t="n">
        <f aca="false">IF($A34=Assumptions!$B$22,Assumptions!$B$21,IF($A34&lt;Assumptions!$B$24,0,IF($A34&lt;=Assumptions!$B$26,Assumptions!$B$25,IF($A34&lt;=Assumptions!$B$28,Assumptions!$B$27,Assumptions!$B$29))*Assumptions!$C$14))</f>
        <v>4</v>
      </c>
      <c r="D34" s="40" t="n">
        <f aca="false">D33*(1-Assumptions!$C$12)+C34</f>
        <v>45.6196339826481</v>
      </c>
      <c r="E34" s="41" t="n">
        <f aca="false">D34*Assumptions!$C$10*Assumptions!$C$11+IF($A34=Assumptions!$B$22,Assumptions!$B$21*Assumptions!$B$23,0)-Assumptions!$C$18-C34*Assumptions!$C$13-$B34</f>
        <v>-5731.41098052056</v>
      </c>
      <c r="F34" s="41" t="n">
        <f aca="false">F33+E34</f>
        <v>-184903.191370109</v>
      </c>
      <c r="G34" s="43" t="n">
        <f aca="false">IF(AND($A34&gt;=Assumptions!$B$24,E34&gt;=0),1,0)</f>
        <v>0</v>
      </c>
      <c r="H34" s="40" t="n">
        <f aca="false">IF($A34=Assumptions!$B$22,Assumptions!$B$21,IF($A34&lt;Assumptions!$B$24,0,IF($A34&lt;=Assumptions!$B$26,Assumptions!$B$25,IF($A34&lt;=Assumptions!$B$28,Assumptions!$B$27,Assumptions!$B$29))*Assumptions!$D$14))</f>
        <v>8</v>
      </c>
      <c r="I34" s="40" t="n">
        <f aca="false">I33*(1-Assumptions!$D$12)+H34</f>
        <v>106.410310115286</v>
      </c>
      <c r="J34" s="41" t="n">
        <f aca="false">I34*Assumptions!$D$10*Assumptions!$D$11+IF($A34=Assumptions!$B$22,Assumptions!$B$21*Assumptions!$B$23,0)-Assumptions!$D$18-H34*Assumptions!$D$13-$B34</f>
        <v>-3509.61337067679</v>
      </c>
      <c r="K34" s="41" t="n">
        <f aca="false">K33+J34</f>
        <v>-160722.501014784</v>
      </c>
      <c r="L34" s="43" t="n">
        <f aca="false">IF(AND($A34&gt;=Assumptions!$B$24,J34&gt;=0),1,0)</f>
        <v>0</v>
      </c>
      <c r="M34" s="40" t="n">
        <f aca="false">IF($A34=Assumptions!$B$22,Assumptions!$B$21,IF($A34&lt;Assumptions!$B$24,0,IF($A34&lt;=Assumptions!$B$26,Assumptions!$B$25,IF($A34&lt;=Assumptions!$B$28,Assumptions!$B$27,Assumptions!$B$29))*Assumptions!$E$14))</f>
        <v>12</v>
      </c>
      <c r="N34" s="40" t="n">
        <f aca="false">N33*(1-Assumptions!$E$12)+M34</f>
        <v>173.204112926321</v>
      </c>
      <c r="O34" s="41" t="n">
        <f aca="false">N34*Assumptions!$E$10*Assumptions!$E$11+IF($A34=Assumptions!$B$22,Assumptions!$B$21*Assumptions!$B$23,0)-Assumptions!$E$18-M34*Assumptions!$E$13-$B34</f>
        <v>593.215928631867</v>
      </c>
      <c r="P34" s="41" t="n">
        <f aca="false">P33+O34</f>
        <v>-120517.580502962</v>
      </c>
      <c r="Q34" s="43" t="n">
        <f aca="false">IF(AND($A34&gt;=Assumptions!$B$24,O34&gt;=0),1,0)</f>
        <v>1</v>
      </c>
      <c r="R34" s="40" t="n">
        <f aca="false">IF($A34=Assumptions!$B$22,Assumptions!$B$21,IF($A34&lt;Assumptions!$B$24,0,IF($A34&lt;=Assumptions!$B$26,Assumptions!$B$25,IF($A34&lt;=Assumptions!$B$28,Assumptions!$B$27,Assumptions!$B$29))*Assumptions!$F$14))</f>
        <v>8</v>
      </c>
      <c r="S34" s="40" t="n">
        <f aca="false">S33*(1-Assumptions!$F$12)+R34</f>
        <v>106.410310115286</v>
      </c>
      <c r="T34" s="41" t="n">
        <f aca="false">S34*Assumptions!$F$10*Assumptions!$F$11+IF($A34=Assumptions!$B$22,Assumptions!$B$21*Assumptions!$B$23,0)-Assumptions!$F$18-R34*Assumptions!$F$13-$B34</f>
        <v>490.386629323209</v>
      </c>
      <c r="U34" s="41" t="n">
        <f aca="false">U33+T34</f>
        <v>-44722.5010147838</v>
      </c>
      <c r="V34" s="43" t="n">
        <f aca="false">IF(AND($A34&gt;=Assumptions!$B$24,T34&gt;=0),1,0)</f>
        <v>1</v>
      </c>
      <c r="W34" s="40" t="n">
        <f aca="false">IF($A34=Assumptions!$B$22,Assumptions!$B$21,IF($A34&lt;Assumptions!$B$24,0,IF($A34&lt;=Assumptions!$B$26,Assumptions!$B$25,IF($A34&lt;=Assumptions!$B$28,Assumptions!$B$27,Assumptions!$B$29))*Assumptions!$G$14))</f>
        <v>8</v>
      </c>
      <c r="X34" s="40" t="n">
        <f aca="false">X33*(1-Assumptions!$G$12)+W34</f>
        <v>106.410310115286</v>
      </c>
      <c r="Y34" s="41" t="n">
        <f aca="false">X34*Assumptions!$G$10*Assumptions!$G$11+IF($A34=Assumptions!$B$22,Assumptions!$B$21*Assumptions!$B$23,0)-Assumptions!$G$18-W34*Assumptions!$G$13-$B34</f>
        <v>-3509.61337067679</v>
      </c>
      <c r="Z34" s="41" t="n">
        <f aca="false">Z33+Y34</f>
        <v>-160722.501014784</v>
      </c>
      <c r="AA34" s="43" t="n">
        <f aca="false">IF(AND($A34&gt;=Assumptions!$B$24,Y34&gt;=0),1,0)</f>
        <v>0</v>
      </c>
    </row>
    <row r="35" customFormat="false" ht="15" hidden="false" customHeight="false" outlineLevel="0" collapsed="false">
      <c r="A35" s="43" t="n">
        <v>30</v>
      </c>
      <c r="B35" s="41" t="n">
        <f aca="false">SUMIF(Assumptions!$B$33:$B$38,A35,Assumptions!$C$33:$C$38)</f>
        <v>0</v>
      </c>
      <c r="C35" s="40" t="n">
        <f aca="false">IF($A35=Assumptions!$B$22,Assumptions!$B$21,IF($A35&lt;Assumptions!$B$24,0,IF($A35&lt;=Assumptions!$B$26,Assumptions!$B$25,IF($A35&lt;=Assumptions!$B$28,Assumptions!$B$27,Assumptions!$B$29))*Assumptions!$C$14))</f>
        <v>4</v>
      </c>
      <c r="D35" s="40" t="n">
        <f aca="false">D34*(1-Assumptions!$C$12)+C35</f>
        <v>47.3386522835157</v>
      </c>
      <c r="E35" s="41" t="n">
        <f aca="false">D35*Assumptions!$C$10*Assumptions!$C$11+IF($A35=Assumptions!$B$22,Assumptions!$B$21*Assumptions!$B$23,0)-Assumptions!$C$18-C35*Assumptions!$C$13-$B35</f>
        <v>-5679.84043149453</v>
      </c>
      <c r="F35" s="41" t="n">
        <f aca="false">F34+E35</f>
        <v>-190583.031801604</v>
      </c>
      <c r="G35" s="43" t="n">
        <f aca="false">IF(AND($A35&gt;=Assumptions!$B$24,E35&gt;=0),1,0)</f>
        <v>0</v>
      </c>
      <c r="H35" s="40" t="n">
        <f aca="false">IF($A35=Assumptions!$B$22,Assumptions!$B$21,IF($A35&lt;Assumptions!$B$24,0,IF($A35&lt;=Assumptions!$B$26,Assumptions!$B$25,IF($A35&lt;=Assumptions!$B$28,Assumptions!$B$27,Assumptions!$B$29))*Assumptions!$D$14))</f>
        <v>8</v>
      </c>
      <c r="I35" s="40" t="n">
        <f aca="false">I34*(1-Assumptions!$D$12)+H35</f>
        <v>111.218000811827</v>
      </c>
      <c r="J35" s="41" t="n">
        <f aca="false">I35*Assumptions!$D$10*Assumptions!$D$11+IF($A35=Assumptions!$B$22,Assumptions!$B$21*Assumptions!$B$23,0)-Assumptions!$D$18-H35*Assumptions!$D$13-$B35</f>
        <v>-3329.32496955649</v>
      </c>
      <c r="K35" s="41" t="n">
        <f aca="false">K34+J35</f>
        <v>-164051.82598434</v>
      </c>
      <c r="L35" s="43" t="n">
        <f aca="false">IF(AND($A35&gt;=Assumptions!$B$24,J35&gt;=0),1,0)</f>
        <v>0</v>
      </c>
      <c r="M35" s="40" t="n">
        <f aca="false">IF($A35=Assumptions!$B$22,Assumptions!$B$21,IF($A35&lt;Assumptions!$B$24,0,IF($A35&lt;=Assumptions!$B$26,Assumptions!$B$25,IF($A35&lt;=Assumptions!$B$28,Assumptions!$B$27,Assumptions!$B$29))*Assumptions!$E$14))</f>
        <v>12</v>
      </c>
      <c r="N35" s="40" t="n">
        <f aca="false">N34*(1-Assumptions!$E$12)+M35</f>
        <v>181.740030667795</v>
      </c>
      <c r="O35" s="41" t="n">
        <f aca="false">N35*Assumptions!$E$10*Assumptions!$E$11+IF($A35=Assumptions!$B$22,Assumptions!$B$21*Assumptions!$B$23,0)-Assumptions!$E$18-M35*Assumptions!$E$13-$B35</f>
        <v>1041.35161005923</v>
      </c>
      <c r="P35" s="41" t="n">
        <f aca="false">P34+O35</f>
        <v>-119476.228892902</v>
      </c>
      <c r="Q35" s="43" t="n">
        <f aca="false">IF(AND($A35&gt;=Assumptions!$B$24,O35&gt;=0),1,0)</f>
        <v>1</v>
      </c>
      <c r="R35" s="40" t="n">
        <f aca="false">IF($A35=Assumptions!$B$22,Assumptions!$B$21,IF($A35&lt;Assumptions!$B$24,0,IF($A35&lt;=Assumptions!$B$26,Assumptions!$B$25,IF($A35&lt;=Assumptions!$B$28,Assumptions!$B$27,Assumptions!$B$29))*Assumptions!$F$14))</f>
        <v>8</v>
      </c>
      <c r="S35" s="40" t="n">
        <f aca="false">S34*(1-Assumptions!$F$12)+R35</f>
        <v>111.218000811827</v>
      </c>
      <c r="T35" s="41" t="n">
        <f aca="false">S35*Assumptions!$F$10*Assumptions!$F$11+IF($A35=Assumptions!$B$22,Assumptions!$B$21*Assumptions!$B$23,0)-Assumptions!$F$18-R35*Assumptions!$F$13-$B35</f>
        <v>670.675030443513</v>
      </c>
      <c r="U35" s="41" t="n">
        <f aca="false">U34+T35</f>
        <v>-44051.8259843403</v>
      </c>
      <c r="V35" s="43" t="n">
        <f aca="false">IF(AND($A35&gt;=Assumptions!$B$24,T35&gt;=0),1,0)</f>
        <v>1</v>
      </c>
      <c r="W35" s="40" t="n">
        <f aca="false">IF($A35=Assumptions!$B$22,Assumptions!$B$21,IF($A35&lt;Assumptions!$B$24,0,IF($A35&lt;=Assumptions!$B$26,Assumptions!$B$25,IF($A35&lt;=Assumptions!$B$28,Assumptions!$B$27,Assumptions!$B$29))*Assumptions!$G$14))</f>
        <v>8</v>
      </c>
      <c r="X35" s="40" t="n">
        <f aca="false">X34*(1-Assumptions!$G$12)+W35</f>
        <v>111.218000811827</v>
      </c>
      <c r="Y35" s="41" t="n">
        <f aca="false">X35*Assumptions!$G$10*Assumptions!$G$11+IF($A35=Assumptions!$B$22,Assumptions!$B$21*Assumptions!$B$23,0)-Assumptions!$G$18-W35*Assumptions!$G$13-$B35</f>
        <v>-3329.32496955649</v>
      </c>
      <c r="Z35" s="41" t="n">
        <f aca="false">Z34+Y35</f>
        <v>-164051.82598434</v>
      </c>
      <c r="AA35" s="43" t="n">
        <f aca="false">IF(AND($A35&gt;=Assumptions!$B$24,Y35&gt;=0),1,0)</f>
        <v>0</v>
      </c>
    </row>
    <row r="36" customFormat="false" ht="15" hidden="false" customHeight="false" outlineLevel="0" collapsed="false">
      <c r="A36" s="43" t="n">
        <v>31</v>
      </c>
      <c r="B36" s="41" t="n">
        <f aca="false">SUMIF(Assumptions!$B$33:$B$38,A36,Assumptions!$C$33:$C$38)</f>
        <v>0</v>
      </c>
      <c r="C36" s="40" t="n">
        <f aca="false">IF($A36=Assumptions!$B$22,Assumptions!$B$21,IF($A36&lt;Assumptions!$B$24,0,IF($A36&lt;=Assumptions!$B$26,Assumptions!$B$25,IF($A36&lt;=Assumptions!$B$28,Assumptions!$B$27,Assumptions!$B$29))*Assumptions!$C$14))</f>
        <v>4</v>
      </c>
      <c r="D36" s="40" t="n">
        <f aca="false">D35*(1-Assumptions!$C$12)+C36</f>
        <v>48.9717196693399</v>
      </c>
      <c r="E36" s="41" t="n">
        <f aca="false">D36*Assumptions!$C$10*Assumptions!$C$11+IF($A36=Assumptions!$B$22,Assumptions!$B$21*Assumptions!$B$23,0)-Assumptions!$C$18-C36*Assumptions!$C$13-$B36</f>
        <v>-5630.8484099198</v>
      </c>
      <c r="F36" s="41" t="n">
        <f aca="false">F35+E36</f>
        <v>-196213.880211524</v>
      </c>
      <c r="G36" s="43" t="n">
        <f aca="false">IF(AND($A36&gt;=Assumptions!$B$24,E36&gt;=0),1,0)</f>
        <v>0</v>
      </c>
      <c r="H36" s="40" t="n">
        <f aca="false">IF($A36=Assumptions!$B$22,Assumptions!$B$21,IF($A36&lt;Assumptions!$B$24,0,IF($A36&lt;=Assumptions!$B$26,Assumptions!$B$25,IF($A36&lt;=Assumptions!$B$28,Assumptions!$B$27,Assumptions!$B$29))*Assumptions!$D$14))</f>
        <v>8</v>
      </c>
      <c r="I36" s="40" t="n">
        <f aca="false">I35*(1-Assumptions!$D$12)+H36</f>
        <v>115.881460787472</v>
      </c>
      <c r="J36" s="41" t="n">
        <f aca="false">I36*Assumptions!$D$10*Assumptions!$D$11+IF($A36=Assumptions!$B$22,Assumptions!$B$21*Assumptions!$B$23,0)-Assumptions!$D$18-H36*Assumptions!$D$13-$B36</f>
        <v>-3154.44522046979</v>
      </c>
      <c r="K36" s="41" t="n">
        <f aca="false">K35+J36</f>
        <v>-167206.27120481</v>
      </c>
      <c r="L36" s="43" t="n">
        <f aca="false">IF(AND($A36&gt;=Assumptions!$B$24,J36&gt;=0),1,0)</f>
        <v>0</v>
      </c>
      <c r="M36" s="40" t="n">
        <f aca="false">IF($A36=Assumptions!$B$22,Assumptions!$B$21,IF($A36&lt;Assumptions!$B$24,0,IF($A36&lt;=Assumptions!$B$26,Assumptions!$B$25,IF($A36&lt;=Assumptions!$B$28,Assumptions!$B$27,Assumptions!$B$29))*Assumptions!$E$14))</f>
        <v>12</v>
      </c>
      <c r="N36" s="40" t="n">
        <f aca="false">N35*(1-Assumptions!$E$12)+M36</f>
        <v>190.105230054439</v>
      </c>
      <c r="O36" s="41" t="n">
        <f aca="false">N36*Assumptions!$E$10*Assumptions!$E$11+IF($A36=Assumptions!$B$22,Assumptions!$B$21*Assumptions!$B$23,0)-Assumptions!$E$18-M36*Assumptions!$E$13-$B36</f>
        <v>1480.52457785804</v>
      </c>
      <c r="P36" s="41" t="n">
        <f aca="false">P35+O36</f>
        <v>-117995.704315044</v>
      </c>
      <c r="Q36" s="43" t="n">
        <f aca="false">IF(AND($A36&gt;=Assumptions!$B$24,O36&gt;=0),1,0)</f>
        <v>1</v>
      </c>
      <c r="R36" s="40" t="n">
        <f aca="false">IF($A36=Assumptions!$B$22,Assumptions!$B$21,IF($A36&lt;Assumptions!$B$24,0,IF($A36&lt;=Assumptions!$B$26,Assumptions!$B$25,IF($A36&lt;=Assumptions!$B$28,Assumptions!$B$27,Assumptions!$B$29))*Assumptions!$F$14))</f>
        <v>8</v>
      </c>
      <c r="S36" s="40" t="n">
        <f aca="false">S35*(1-Assumptions!$F$12)+R36</f>
        <v>115.881460787472</v>
      </c>
      <c r="T36" s="41" t="n">
        <f aca="false">S36*Assumptions!$F$10*Assumptions!$F$11+IF($A36=Assumptions!$B$22,Assumptions!$B$21*Assumptions!$B$23,0)-Assumptions!$F$18-R36*Assumptions!$F$13-$B36</f>
        <v>845.554779530206</v>
      </c>
      <c r="U36" s="41" t="n">
        <f aca="false">U35+T36</f>
        <v>-43206.2712048101</v>
      </c>
      <c r="V36" s="43" t="n">
        <f aca="false">IF(AND($A36&gt;=Assumptions!$B$24,T36&gt;=0),1,0)</f>
        <v>1</v>
      </c>
      <c r="W36" s="40" t="n">
        <f aca="false">IF($A36=Assumptions!$B$22,Assumptions!$B$21,IF($A36&lt;Assumptions!$B$24,0,IF($A36&lt;=Assumptions!$B$26,Assumptions!$B$25,IF($A36&lt;=Assumptions!$B$28,Assumptions!$B$27,Assumptions!$B$29))*Assumptions!$G$14))</f>
        <v>8</v>
      </c>
      <c r="X36" s="40" t="n">
        <f aca="false">X35*(1-Assumptions!$G$12)+W36</f>
        <v>115.881460787472</v>
      </c>
      <c r="Y36" s="41" t="n">
        <f aca="false">X36*Assumptions!$G$10*Assumptions!$G$11+IF($A36=Assumptions!$B$22,Assumptions!$B$21*Assumptions!$B$23,0)-Assumptions!$G$18-W36*Assumptions!$G$13-$B36</f>
        <v>-3154.44522046979</v>
      </c>
      <c r="Z36" s="41" t="n">
        <f aca="false">Z35+Y36</f>
        <v>-167206.27120481</v>
      </c>
      <c r="AA36" s="43" t="n">
        <f aca="false">IF(AND($A36&gt;=Assumptions!$B$24,Y36&gt;=0),1,0)</f>
        <v>0</v>
      </c>
    </row>
    <row r="37" customFormat="false" ht="15" hidden="false" customHeight="false" outlineLevel="0" collapsed="false">
      <c r="A37" s="43" t="n">
        <v>32</v>
      </c>
      <c r="B37" s="41" t="n">
        <f aca="false">SUMIF(Assumptions!$B$33:$B$38,A37,Assumptions!$C$33:$C$38)</f>
        <v>0</v>
      </c>
      <c r="C37" s="40" t="n">
        <f aca="false">IF($A37=Assumptions!$B$22,Assumptions!$B$21,IF($A37&lt;Assumptions!$B$24,0,IF($A37&lt;=Assumptions!$B$26,Assumptions!$B$25,IF($A37&lt;=Assumptions!$B$28,Assumptions!$B$27,Assumptions!$B$29))*Assumptions!$C$14))</f>
        <v>4</v>
      </c>
      <c r="D37" s="40" t="n">
        <f aca="false">D36*(1-Assumptions!$C$12)+C37</f>
        <v>50.5231336858729</v>
      </c>
      <c r="E37" s="41" t="n">
        <f aca="false">D37*Assumptions!$C$10*Assumptions!$C$11+IF($A37=Assumptions!$B$22,Assumptions!$B$21*Assumptions!$B$23,0)-Assumptions!$C$18-C37*Assumptions!$C$13-$B37</f>
        <v>-5584.30598942381</v>
      </c>
      <c r="F37" s="41" t="n">
        <f aca="false">F36+E37</f>
        <v>-201798.186200948</v>
      </c>
      <c r="G37" s="43" t="n">
        <f aca="false">IF(AND($A37&gt;=Assumptions!$B$24,E37&gt;=0),1,0)</f>
        <v>0</v>
      </c>
      <c r="H37" s="40" t="n">
        <f aca="false">IF($A37=Assumptions!$B$22,Assumptions!$B$21,IF($A37&lt;Assumptions!$B$24,0,IF($A37&lt;=Assumptions!$B$26,Assumptions!$B$25,IF($A37&lt;=Assumptions!$B$28,Assumptions!$B$27,Assumptions!$B$29))*Assumptions!$D$14))</f>
        <v>8</v>
      </c>
      <c r="I37" s="40" t="n">
        <f aca="false">I36*(1-Assumptions!$D$12)+H37</f>
        <v>120.405016963848</v>
      </c>
      <c r="J37" s="41" t="n">
        <f aca="false">I37*Assumptions!$D$10*Assumptions!$D$11+IF($A37=Assumptions!$B$22,Assumptions!$B$21*Assumptions!$B$23,0)-Assumptions!$D$18-H37*Assumptions!$D$13-$B37</f>
        <v>-2984.8118638557</v>
      </c>
      <c r="K37" s="41" t="n">
        <f aca="false">K36+J37</f>
        <v>-170191.083068666</v>
      </c>
      <c r="L37" s="43" t="n">
        <f aca="false">IF(AND($A37&gt;=Assumptions!$B$24,J37&gt;=0),1,0)</f>
        <v>0</v>
      </c>
      <c r="M37" s="40" t="n">
        <f aca="false">IF($A37=Assumptions!$B$22,Assumptions!$B$21,IF($A37&lt;Assumptions!$B$24,0,IF($A37&lt;=Assumptions!$B$26,Assumptions!$B$25,IF($A37&lt;=Assumptions!$B$28,Assumptions!$B$27,Assumptions!$B$29))*Assumptions!$E$14))</f>
        <v>12</v>
      </c>
      <c r="N37" s="40" t="n">
        <f aca="false">N36*(1-Assumptions!$E$12)+M37</f>
        <v>198.30312545335</v>
      </c>
      <c r="O37" s="41" t="n">
        <f aca="false">N37*Assumptions!$E$10*Assumptions!$E$11+IF($A37=Assumptions!$B$22,Assumptions!$B$21*Assumptions!$B$23,0)-Assumptions!$E$18-M37*Assumptions!$E$13-$B37</f>
        <v>1910.91408630088</v>
      </c>
      <c r="P37" s="41" t="n">
        <f aca="false">P36+O37</f>
        <v>-116084.790228743</v>
      </c>
      <c r="Q37" s="43" t="n">
        <f aca="false">IF(AND($A37&gt;=Assumptions!$B$24,O37&gt;=0),1,0)</f>
        <v>1</v>
      </c>
      <c r="R37" s="40" t="n">
        <f aca="false">IF($A37=Assumptions!$B$22,Assumptions!$B$21,IF($A37&lt;Assumptions!$B$24,0,IF($A37&lt;=Assumptions!$B$26,Assumptions!$B$25,IF($A37&lt;=Assumptions!$B$28,Assumptions!$B$27,Assumptions!$B$29))*Assumptions!$F$14))</f>
        <v>8</v>
      </c>
      <c r="S37" s="40" t="n">
        <f aca="false">S36*(1-Assumptions!$F$12)+R37</f>
        <v>120.405016963848</v>
      </c>
      <c r="T37" s="41" t="n">
        <f aca="false">S37*Assumptions!$F$10*Assumptions!$F$11+IF($A37=Assumptions!$B$22,Assumptions!$B$21*Assumptions!$B$23,0)-Assumptions!$F$18-R37*Assumptions!$F$13-$B37</f>
        <v>1015.1881361443</v>
      </c>
      <c r="U37" s="41" t="n">
        <f aca="false">U36+T37</f>
        <v>-42191.0830686658</v>
      </c>
      <c r="V37" s="43" t="n">
        <f aca="false">IF(AND($A37&gt;=Assumptions!$B$24,T37&gt;=0),1,0)</f>
        <v>1</v>
      </c>
      <c r="W37" s="40" t="n">
        <f aca="false">IF($A37=Assumptions!$B$22,Assumptions!$B$21,IF($A37&lt;Assumptions!$B$24,0,IF($A37&lt;=Assumptions!$B$26,Assumptions!$B$25,IF($A37&lt;=Assumptions!$B$28,Assumptions!$B$27,Assumptions!$B$29))*Assumptions!$G$14))</f>
        <v>8</v>
      </c>
      <c r="X37" s="40" t="n">
        <f aca="false">X36*(1-Assumptions!$G$12)+W37</f>
        <v>120.405016963848</v>
      </c>
      <c r="Y37" s="41" t="n">
        <f aca="false">X37*Assumptions!$G$10*Assumptions!$G$11+IF($A37=Assumptions!$B$22,Assumptions!$B$21*Assumptions!$B$23,0)-Assumptions!$G$18-W37*Assumptions!$G$13-$B37</f>
        <v>-2984.8118638557</v>
      </c>
      <c r="Z37" s="41" t="n">
        <f aca="false">Z36+Y37</f>
        <v>-170191.083068666</v>
      </c>
      <c r="AA37" s="43" t="n">
        <f aca="false">IF(AND($A37&gt;=Assumptions!$B$24,Y37&gt;=0),1,0)</f>
        <v>0</v>
      </c>
    </row>
    <row r="38" customFormat="false" ht="15" hidden="false" customHeight="false" outlineLevel="0" collapsed="false">
      <c r="A38" s="43" t="n">
        <v>33</v>
      </c>
      <c r="B38" s="41" t="n">
        <f aca="false">SUMIF(Assumptions!$B$33:$B$38,A38,Assumptions!$C$33:$C$38)</f>
        <v>0</v>
      </c>
      <c r="C38" s="40" t="n">
        <f aca="false">IF($A38=Assumptions!$B$22,Assumptions!$B$21,IF($A38&lt;Assumptions!$B$24,0,IF($A38&lt;=Assumptions!$B$26,Assumptions!$B$25,IF($A38&lt;=Assumptions!$B$28,Assumptions!$B$27,Assumptions!$B$29))*Assumptions!$C$14))</f>
        <v>4</v>
      </c>
      <c r="D38" s="40" t="n">
        <f aca="false">D37*(1-Assumptions!$C$12)+C38</f>
        <v>51.9969770015793</v>
      </c>
      <c r="E38" s="41" t="n">
        <f aca="false">D38*Assumptions!$C$10*Assumptions!$C$11+IF($A38=Assumptions!$B$22,Assumptions!$B$21*Assumptions!$B$23,0)-Assumptions!$C$18-C38*Assumptions!$C$13-$B38</f>
        <v>-5540.09068995262</v>
      </c>
      <c r="F38" s="41" t="n">
        <f aca="false">F37+E38</f>
        <v>-207338.2768909</v>
      </c>
      <c r="G38" s="43" t="n">
        <f aca="false">IF(AND($A38&gt;=Assumptions!$B$24,E38&gt;=0),1,0)</f>
        <v>0</v>
      </c>
      <c r="H38" s="40" t="n">
        <f aca="false">IF($A38=Assumptions!$B$22,Assumptions!$B$21,IF($A38&lt;Assumptions!$B$24,0,IF($A38&lt;=Assumptions!$B$26,Assumptions!$B$25,IF($A38&lt;=Assumptions!$B$28,Assumptions!$B$27,Assumptions!$B$29))*Assumptions!$D$14))</f>
        <v>8</v>
      </c>
      <c r="I38" s="40" t="n">
        <f aca="false">I37*(1-Assumptions!$D$12)+H38</f>
        <v>124.792866454933</v>
      </c>
      <c r="J38" s="41" t="n">
        <f aca="false">I38*Assumptions!$D$10*Assumptions!$D$11+IF($A38=Assumptions!$B$22,Assumptions!$B$21*Assumptions!$B$23,0)-Assumptions!$D$18-H38*Assumptions!$D$13-$B38</f>
        <v>-2820.26750794003</v>
      </c>
      <c r="K38" s="41" t="n">
        <f aca="false">K37+J38</f>
        <v>-173011.350576606</v>
      </c>
      <c r="L38" s="43" t="n">
        <f aca="false">IF(AND($A38&gt;=Assumptions!$B$24,J38&gt;=0),1,0)</f>
        <v>0</v>
      </c>
      <c r="M38" s="40" t="n">
        <f aca="false">IF($A38=Assumptions!$B$22,Assumptions!$B$21,IF($A38&lt;Assumptions!$B$24,0,IF($A38&lt;=Assumptions!$B$26,Assumptions!$B$25,IF($A38&lt;=Assumptions!$B$28,Assumptions!$B$27,Assumptions!$B$29))*Assumptions!$E$14))</f>
        <v>12</v>
      </c>
      <c r="N38" s="40" t="n">
        <f aca="false">N37*(1-Assumptions!$E$12)+M38</f>
        <v>206.337062944283</v>
      </c>
      <c r="O38" s="41" t="n">
        <f aca="false">N38*Assumptions!$E$10*Assumptions!$E$11+IF($A38=Assumptions!$B$22,Assumptions!$B$21*Assumptions!$B$23,0)-Assumptions!$E$18-M38*Assumptions!$E$13-$B38</f>
        <v>2332.69580457487</v>
      </c>
      <c r="P38" s="41" t="n">
        <f aca="false">P37+O38</f>
        <v>-113752.094424169</v>
      </c>
      <c r="Q38" s="43" t="n">
        <f aca="false">IF(AND($A38&gt;=Assumptions!$B$24,O38&gt;=0),1,0)</f>
        <v>1</v>
      </c>
      <c r="R38" s="40" t="n">
        <f aca="false">IF($A38=Assumptions!$B$22,Assumptions!$B$21,IF($A38&lt;Assumptions!$B$24,0,IF($A38&lt;=Assumptions!$B$26,Assumptions!$B$25,IF($A38&lt;=Assumptions!$B$28,Assumptions!$B$27,Assumptions!$B$29))*Assumptions!$F$14))</f>
        <v>8</v>
      </c>
      <c r="S38" s="40" t="n">
        <f aca="false">S37*(1-Assumptions!$F$12)+R38</f>
        <v>124.792866454933</v>
      </c>
      <c r="T38" s="41" t="n">
        <f aca="false">S38*Assumptions!$F$10*Assumptions!$F$11+IF($A38=Assumptions!$B$22,Assumptions!$B$21*Assumptions!$B$23,0)-Assumptions!$F$18-R38*Assumptions!$F$13-$B38</f>
        <v>1179.73249205997</v>
      </c>
      <c r="U38" s="41" t="n">
        <f aca="false">U37+T38</f>
        <v>-41011.3505766058</v>
      </c>
      <c r="V38" s="43" t="n">
        <f aca="false">IF(AND($A38&gt;=Assumptions!$B$24,T38&gt;=0),1,0)</f>
        <v>1</v>
      </c>
      <c r="W38" s="40" t="n">
        <f aca="false">IF($A38=Assumptions!$B$22,Assumptions!$B$21,IF($A38&lt;Assumptions!$B$24,0,IF($A38&lt;=Assumptions!$B$26,Assumptions!$B$25,IF($A38&lt;=Assumptions!$B$28,Assumptions!$B$27,Assumptions!$B$29))*Assumptions!$G$14))</f>
        <v>8</v>
      </c>
      <c r="X38" s="40" t="n">
        <f aca="false">X37*(1-Assumptions!$G$12)+W38</f>
        <v>124.792866454933</v>
      </c>
      <c r="Y38" s="41" t="n">
        <f aca="false">X38*Assumptions!$G$10*Assumptions!$G$11+IF($A38=Assumptions!$B$22,Assumptions!$B$21*Assumptions!$B$23,0)-Assumptions!$G$18-W38*Assumptions!$G$13-$B38</f>
        <v>-2820.26750794003</v>
      </c>
      <c r="Z38" s="41" t="n">
        <f aca="false">Z37+Y38</f>
        <v>-173011.350576606</v>
      </c>
      <c r="AA38" s="43" t="n">
        <f aca="false">IF(AND($A38&gt;=Assumptions!$B$24,Y38&gt;=0),1,0)</f>
        <v>0</v>
      </c>
    </row>
    <row r="39" customFormat="false" ht="15" hidden="false" customHeight="false" outlineLevel="0" collapsed="false">
      <c r="A39" s="43" t="n">
        <v>34</v>
      </c>
      <c r="B39" s="41" t="n">
        <f aca="false">SUMIF(Assumptions!$B$33:$B$38,A39,Assumptions!$C$33:$C$38)</f>
        <v>0</v>
      </c>
      <c r="C39" s="40" t="n">
        <f aca="false">IF($A39=Assumptions!$B$22,Assumptions!$B$21,IF($A39&lt;Assumptions!$B$24,0,IF($A39&lt;=Assumptions!$B$26,Assumptions!$B$25,IF($A39&lt;=Assumptions!$B$28,Assumptions!$B$27,Assumptions!$B$29))*Assumptions!$C$14))</f>
        <v>4</v>
      </c>
      <c r="D39" s="40" t="n">
        <f aca="false">D38*(1-Assumptions!$C$12)+C39</f>
        <v>53.3971281515003</v>
      </c>
      <c r="E39" s="41" t="n">
        <f aca="false">D39*Assumptions!$C$10*Assumptions!$C$11+IF($A39=Assumptions!$B$22,Assumptions!$B$21*Assumptions!$B$23,0)-Assumptions!$C$18-C39*Assumptions!$C$13-$B39</f>
        <v>-5498.08615545499</v>
      </c>
      <c r="F39" s="41" t="n">
        <f aca="false">F38+E39</f>
        <v>-212836.363046355</v>
      </c>
      <c r="G39" s="43" t="n">
        <f aca="false">IF(AND($A39&gt;=Assumptions!$B$24,E39&gt;=0),1,0)</f>
        <v>0</v>
      </c>
      <c r="H39" s="40" t="n">
        <f aca="false">IF($A39=Assumptions!$B$22,Assumptions!$B$21,IF($A39&lt;Assumptions!$B$24,0,IF($A39&lt;=Assumptions!$B$26,Assumptions!$B$25,IF($A39&lt;=Assumptions!$B$28,Assumptions!$B$27,Assumptions!$B$29))*Assumptions!$D$14))</f>
        <v>8</v>
      </c>
      <c r="I39" s="40" t="n">
        <f aca="false">I38*(1-Assumptions!$D$12)+H39</f>
        <v>129.049080461285</v>
      </c>
      <c r="J39" s="41" t="n">
        <f aca="false">I39*Assumptions!$D$10*Assumptions!$D$11+IF($A39=Assumptions!$B$22,Assumptions!$B$21*Assumptions!$B$23,0)-Assumptions!$D$18-H39*Assumptions!$D$13-$B39</f>
        <v>-2660.65948270183</v>
      </c>
      <c r="K39" s="41" t="n">
        <f aca="false">K38+J39</f>
        <v>-175672.010059308</v>
      </c>
      <c r="L39" s="43" t="n">
        <f aca="false">IF(AND($A39&gt;=Assumptions!$B$24,J39&gt;=0),1,0)</f>
        <v>0</v>
      </c>
      <c r="M39" s="40" t="n">
        <f aca="false">IF($A39=Assumptions!$B$22,Assumptions!$B$21,IF($A39&lt;Assumptions!$B$24,0,IF($A39&lt;=Assumptions!$B$26,Assumptions!$B$25,IF($A39&lt;=Assumptions!$B$28,Assumptions!$B$27,Assumptions!$B$29))*Assumptions!$E$14))</f>
        <v>12</v>
      </c>
      <c r="N39" s="40" t="n">
        <f aca="false">N38*(1-Assumptions!$E$12)+M39</f>
        <v>214.210321685398</v>
      </c>
      <c r="O39" s="41" t="n">
        <f aca="false">N39*Assumptions!$E$10*Assumptions!$E$11+IF($A39=Assumptions!$B$22,Assumptions!$B$21*Assumptions!$B$23,0)-Assumptions!$E$18-M39*Assumptions!$E$13-$B39</f>
        <v>2746.04188848337</v>
      </c>
      <c r="P39" s="41" t="n">
        <f aca="false">P38+O39</f>
        <v>-111006.052535685</v>
      </c>
      <c r="Q39" s="43" t="n">
        <f aca="false">IF(AND($A39&gt;=Assumptions!$B$24,O39&gt;=0),1,0)</f>
        <v>1</v>
      </c>
      <c r="R39" s="40" t="n">
        <f aca="false">IF($A39=Assumptions!$B$22,Assumptions!$B$21,IF($A39&lt;Assumptions!$B$24,0,IF($A39&lt;=Assumptions!$B$26,Assumptions!$B$25,IF($A39&lt;=Assumptions!$B$28,Assumptions!$B$27,Assumptions!$B$29))*Assumptions!$F$14))</f>
        <v>8</v>
      </c>
      <c r="S39" s="40" t="n">
        <f aca="false">S38*(1-Assumptions!$F$12)+R39</f>
        <v>129.049080461285</v>
      </c>
      <c r="T39" s="41" t="n">
        <f aca="false">S39*Assumptions!$F$10*Assumptions!$F$11+IF($A39=Assumptions!$B$22,Assumptions!$B$21*Assumptions!$B$23,0)-Assumptions!$F$18-R39*Assumptions!$F$13-$B39</f>
        <v>1339.34051729817</v>
      </c>
      <c r="U39" s="41" t="n">
        <f aca="false">U38+T39</f>
        <v>-39672.0100593076</v>
      </c>
      <c r="V39" s="43" t="n">
        <f aca="false">IF(AND($A39&gt;=Assumptions!$B$24,T39&gt;=0),1,0)</f>
        <v>1</v>
      </c>
      <c r="W39" s="40" t="n">
        <f aca="false">IF($A39=Assumptions!$B$22,Assumptions!$B$21,IF($A39&lt;Assumptions!$B$24,0,IF($A39&lt;=Assumptions!$B$26,Assumptions!$B$25,IF($A39&lt;=Assumptions!$B$28,Assumptions!$B$27,Assumptions!$B$29))*Assumptions!$G$14))</f>
        <v>8</v>
      </c>
      <c r="X39" s="40" t="n">
        <f aca="false">X38*(1-Assumptions!$G$12)+W39</f>
        <v>129.049080461285</v>
      </c>
      <c r="Y39" s="41" t="n">
        <f aca="false">X39*Assumptions!$G$10*Assumptions!$G$11+IF($A39=Assumptions!$B$22,Assumptions!$B$21*Assumptions!$B$23,0)-Assumptions!$G$18-W39*Assumptions!$G$13-$B39</f>
        <v>-2660.65948270183</v>
      </c>
      <c r="Z39" s="41" t="n">
        <f aca="false">Z38+Y39</f>
        <v>-175672.010059308</v>
      </c>
      <c r="AA39" s="43" t="n">
        <f aca="false">IF(AND($A39&gt;=Assumptions!$B$24,Y39&gt;=0),1,0)</f>
        <v>0</v>
      </c>
    </row>
    <row r="40" customFormat="false" ht="15" hidden="false" customHeight="false" outlineLevel="0" collapsed="false">
      <c r="A40" s="43" t="n">
        <v>35</v>
      </c>
      <c r="B40" s="41" t="n">
        <f aca="false">SUMIF(Assumptions!$B$33:$B$38,A40,Assumptions!$C$33:$C$38)</f>
        <v>0</v>
      </c>
      <c r="C40" s="40" t="n">
        <f aca="false">IF($A40=Assumptions!$B$22,Assumptions!$B$21,IF($A40&lt;Assumptions!$B$24,0,IF($A40&lt;=Assumptions!$B$26,Assumptions!$B$25,IF($A40&lt;=Assumptions!$B$28,Assumptions!$B$27,Assumptions!$B$29))*Assumptions!$C$14))</f>
        <v>4</v>
      </c>
      <c r="D40" s="40" t="n">
        <f aca="false">D39*(1-Assumptions!$C$12)+C40</f>
        <v>54.7272717439253</v>
      </c>
      <c r="E40" s="41" t="n">
        <f aca="false">D40*Assumptions!$C$10*Assumptions!$C$11+IF($A40=Assumptions!$B$22,Assumptions!$B$21*Assumptions!$B$23,0)-Assumptions!$C$18-C40*Assumptions!$C$13-$B40</f>
        <v>-5458.18184768224</v>
      </c>
      <c r="F40" s="41" t="n">
        <f aca="false">F39+E40</f>
        <v>-218294.544894037</v>
      </c>
      <c r="G40" s="43" t="n">
        <f aca="false">IF(AND($A40&gt;=Assumptions!$B$24,E40&gt;=0),1,0)</f>
        <v>0</v>
      </c>
      <c r="H40" s="40" t="n">
        <f aca="false">IF($A40=Assumptions!$B$22,Assumptions!$B$21,IF($A40&lt;Assumptions!$B$24,0,IF($A40&lt;=Assumptions!$B$26,Assumptions!$B$25,IF($A40&lt;=Assumptions!$B$28,Assumptions!$B$27,Assumptions!$B$29))*Assumptions!$D$14))</f>
        <v>8</v>
      </c>
      <c r="I40" s="40" t="n">
        <f aca="false">I39*(1-Assumptions!$D$12)+H40</f>
        <v>133.177608047446</v>
      </c>
      <c r="J40" s="41" t="n">
        <f aca="false">I40*Assumptions!$D$10*Assumptions!$D$11+IF($A40=Assumptions!$B$22,Assumptions!$B$21*Assumptions!$B$23,0)-Assumptions!$D$18-H40*Assumptions!$D$13-$B40</f>
        <v>-2505.83969822077</v>
      </c>
      <c r="K40" s="41" t="n">
        <f aca="false">K39+J40</f>
        <v>-178177.849757528</v>
      </c>
      <c r="L40" s="43" t="n">
        <f aca="false">IF(AND($A40&gt;=Assumptions!$B$24,J40&gt;=0),1,0)</f>
        <v>0</v>
      </c>
      <c r="M40" s="40" t="n">
        <f aca="false">IF($A40=Assumptions!$B$22,Assumptions!$B$21,IF($A40&lt;Assumptions!$B$24,0,IF($A40&lt;=Assumptions!$B$26,Assumptions!$B$25,IF($A40&lt;=Assumptions!$B$28,Assumptions!$B$27,Assumptions!$B$29))*Assumptions!$E$14))</f>
        <v>12</v>
      </c>
      <c r="N40" s="40" t="n">
        <f aca="false">N39*(1-Assumptions!$E$12)+M40</f>
        <v>221.92611525169</v>
      </c>
      <c r="O40" s="41" t="n">
        <f aca="false">N40*Assumptions!$E$10*Assumptions!$E$11+IF($A40=Assumptions!$B$22,Assumptions!$B$21*Assumptions!$B$23,0)-Assumptions!$E$18-M40*Assumptions!$E$13-$B40</f>
        <v>3151.1210507137</v>
      </c>
      <c r="P40" s="41" t="n">
        <f aca="false">P39+O40</f>
        <v>-107854.931484972</v>
      </c>
      <c r="Q40" s="43" t="n">
        <f aca="false">IF(AND($A40&gt;=Assumptions!$B$24,O40&gt;=0),1,0)</f>
        <v>1</v>
      </c>
      <c r="R40" s="40" t="n">
        <f aca="false">IF($A40=Assumptions!$B$22,Assumptions!$B$21,IF($A40&lt;Assumptions!$B$24,0,IF($A40&lt;=Assumptions!$B$26,Assumptions!$B$25,IF($A40&lt;=Assumptions!$B$28,Assumptions!$B$27,Assumptions!$B$29))*Assumptions!$F$14))</f>
        <v>8</v>
      </c>
      <c r="S40" s="40" t="n">
        <f aca="false">S39*(1-Assumptions!$F$12)+R40</f>
        <v>133.177608047446</v>
      </c>
      <c r="T40" s="41" t="n">
        <f aca="false">S40*Assumptions!$F$10*Assumptions!$F$11+IF($A40=Assumptions!$B$22,Assumptions!$B$21*Assumptions!$B$23,0)-Assumptions!$F$18-R40*Assumptions!$F$13-$B40</f>
        <v>1494.16030177923</v>
      </c>
      <c r="U40" s="41" t="n">
        <f aca="false">U39+T40</f>
        <v>-38177.8497575284</v>
      </c>
      <c r="V40" s="43" t="n">
        <f aca="false">IF(AND($A40&gt;=Assumptions!$B$24,T40&gt;=0),1,0)</f>
        <v>1</v>
      </c>
      <c r="W40" s="40" t="n">
        <f aca="false">IF($A40=Assumptions!$B$22,Assumptions!$B$21,IF($A40&lt;Assumptions!$B$24,0,IF($A40&lt;=Assumptions!$B$26,Assumptions!$B$25,IF($A40&lt;=Assumptions!$B$28,Assumptions!$B$27,Assumptions!$B$29))*Assumptions!$G$14))</f>
        <v>8</v>
      </c>
      <c r="X40" s="40" t="n">
        <f aca="false">X39*(1-Assumptions!$G$12)+W40</f>
        <v>133.177608047446</v>
      </c>
      <c r="Y40" s="41" t="n">
        <f aca="false">X40*Assumptions!$G$10*Assumptions!$G$11+IF($A40=Assumptions!$B$22,Assumptions!$B$21*Assumptions!$B$23,0)-Assumptions!$G$18-W40*Assumptions!$G$13-$B40</f>
        <v>-2505.83969822077</v>
      </c>
      <c r="Z40" s="41" t="n">
        <f aca="false">Z39+Y40</f>
        <v>-178177.849757528</v>
      </c>
      <c r="AA40" s="43" t="n">
        <f aca="false">IF(AND($A40&gt;=Assumptions!$B$24,Y40&gt;=0),1,0)</f>
        <v>0</v>
      </c>
    </row>
    <row r="41" customFormat="false" ht="15" hidden="false" customHeight="false" outlineLevel="0" collapsed="false">
      <c r="A41" s="43" t="n">
        <v>36</v>
      </c>
      <c r="B41" s="41" t="n">
        <f aca="false">SUMIF(Assumptions!$B$33:$B$38,A41,Assumptions!$C$33:$C$38)</f>
        <v>0</v>
      </c>
      <c r="C41" s="40" t="n">
        <f aca="false">IF($A41=Assumptions!$B$22,Assumptions!$B$21,IF($A41&lt;Assumptions!$B$24,0,IF($A41&lt;=Assumptions!$B$26,Assumptions!$B$25,IF($A41&lt;=Assumptions!$B$28,Assumptions!$B$27,Assumptions!$B$29))*Assumptions!$C$14))</f>
        <v>4</v>
      </c>
      <c r="D41" s="40" t="n">
        <f aca="false">D40*(1-Assumptions!$C$12)+C41</f>
        <v>55.990908156729</v>
      </c>
      <c r="E41" s="41" t="n">
        <f aca="false">D41*Assumptions!$C$10*Assumptions!$C$11+IF($A41=Assumptions!$B$22,Assumptions!$B$21*Assumptions!$B$23,0)-Assumptions!$C$18-C41*Assumptions!$C$13-$B41</f>
        <v>-5420.27275529813</v>
      </c>
      <c r="F41" s="41" t="n">
        <f aca="false">F40+E41</f>
        <v>-223714.817649336</v>
      </c>
      <c r="G41" s="43" t="n">
        <f aca="false">IF(AND($A41&gt;=Assumptions!$B$24,E41&gt;=0),1,0)</f>
        <v>0</v>
      </c>
      <c r="H41" s="40" t="n">
        <f aca="false">IF($A41=Assumptions!$B$22,Assumptions!$B$21,IF($A41&lt;Assumptions!$B$24,0,IF($A41&lt;=Assumptions!$B$26,Assumptions!$B$25,IF($A41&lt;=Assumptions!$B$28,Assumptions!$B$27,Assumptions!$B$29))*Assumptions!$D$14))</f>
        <v>8</v>
      </c>
      <c r="I41" s="40" t="n">
        <f aca="false">I40*(1-Assumptions!$D$12)+H41</f>
        <v>137.182279806023</v>
      </c>
      <c r="J41" s="41" t="n">
        <f aca="false">I41*Assumptions!$D$10*Assumptions!$D$11+IF($A41=Assumptions!$B$22,Assumptions!$B$21*Assumptions!$B$23,0)-Assumptions!$D$18-H41*Assumptions!$D$13-$B41</f>
        <v>-2355.66450727415</v>
      </c>
      <c r="K41" s="41" t="n">
        <f aca="false">K40+J41</f>
        <v>-180533.514264802</v>
      </c>
      <c r="L41" s="43" t="n">
        <f aca="false">IF(AND($A41&gt;=Assumptions!$B$24,J41&gt;=0),1,0)</f>
        <v>0</v>
      </c>
      <c r="M41" s="40" t="n">
        <f aca="false">IF($A41=Assumptions!$B$22,Assumptions!$B$21,IF($A41&lt;Assumptions!$B$24,0,IF($A41&lt;=Assumptions!$B$26,Assumptions!$B$25,IF($A41&lt;=Assumptions!$B$28,Assumptions!$B$27,Assumptions!$B$29))*Assumptions!$E$14))</f>
        <v>12</v>
      </c>
      <c r="N41" s="40" t="n">
        <f aca="false">N40*(1-Assumptions!$E$12)+M41</f>
        <v>229.487592946656</v>
      </c>
      <c r="O41" s="41" t="n">
        <f aca="false">N41*Assumptions!$E$10*Assumptions!$E$11+IF($A41=Assumptions!$B$22,Assumptions!$B$21*Assumptions!$B$23,0)-Assumptions!$E$18-M41*Assumptions!$E$13-$B41</f>
        <v>3548.09862969943</v>
      </c>
      <c r="P41" s="41" t="n">
        <f aca="false">P40+O41</f>
        <v>-104306.832855272</v>
      </c>
      <c r="Q41" s="43" t="n">
        <f aca="false">IF(AND($A41&gt;=Assumptions!$B$24,O41&gt;=0),1,0)</f>
        <v>1</v>
      </c>
      <c r="R41" s="40" t="n">
        <f aca="false">IF($A41=Assumptions!$B$22,Assumptions!$B$21,IF($A41&lt;Assumptions!$B$24,0,IF($A41&lt;=Assumptions!$B$26,Assumptions!$B$25,IF($A41&lt;=Assumptions!$B$28,Assumptions!$B$27,Assumptions!$B$29))*Assumptions!$F$14))</f>
        <v>8</v>
      </c>
      <c r="S41" s="40" t="n">
        <f aca="false">S40*(1-Assumptions!$F$12)+R41</f>
        <v>137.182279806023</v>
      </c>
      <c r="T41" s="41" t="n">
        <f aca="false">S41*Assumptions!$F$10*Assumptions!$F$11+IF($A41=Assumptions!$B$22,Assumptions!$B$21*Assumptions!$B$23,0)-Assumptions!$F$18-R41*Assumptions!$F$13-$B41</f>
        <v>1644.33549272585</v>
      </c>
      <c r="U41" s="41" t="n">
        <f aca="false">U40+T41</f>
        <v>-36533.5142648025</v>
      </c>
      <c r="V41" s="43" t="n">
        <f aca="false">IF(AND($A41&gt;=Assumptions!$B$24,T41&gt;=0),1,0)</f>
        <v>1</v>
      </c>
      <c r="W41" s="40" t="n">
        <f aca="false">IF($A41=Assumptions!$B$22,Assumptions!$B$21,IF($A41&lt;Assumptions!$B$24,0,IF($A41&lt;=Assumptions!$B$26,Assumptions!$B$25,IF($A41&lt;=Assumptions!$B$28,Assumptions!$B$27,Assumptions!$B$29))*Assumptions!$G$14))</f>
        <v>8</v>
      </c>
      <c r="X41" s="40" t="n">
        <f aca="false">X40*(1-Assumptions!$G$12)+W41</f>
        <v>137.182279806023</v>
      </c>
      <c r="Y41" s="41" t="n">
        <f aca="false">X41*Assumptions!$G$10*Assumptions!$G$11+IF($A41=Assumptions!$B$22,Assumptions!$B$21*Assumptions!$B$23,0)-Assumptions!$G$18-W41*Assumptions!$G$13-$B41</f>
        <v>-2355.66450727415</v>
      </c>
      <c r="Z41" s="41" t="n">
        <f aca="false">Z40+Y41</f>
        <v>-180533.514264802</v>
      </c>
      <c r="AA41" s="43" t="n">
        <f aca="false">IF(AND($A41&gt;=Assumptions!$B$24,Y41&gt;=0),1,0)</f>
        <v>0</v>
      </c>
    </row>
    <row r="42" customFormat="false" ht="15" hidden="false" customHeight="false" outlineLevel="0" collapsed="false">
      <c r="A42" s="43" t="n">
        <v>37</v>
      </c>
      <c r="B42" s="41" t="n">
        <f aca="false">SUMIF(Assumptions!$B$33:$B$38,A42,Assumptions!$C$33:$C$38)</f>
        <v>0</v>
      </c>
      <c r="C42" s="40" t="n">
        <f aca="false">IF($A42=Assumptions!$B$22,Assumptions!$B$21,IF($A42&lt;Assumptions!$B$24,0,IF($A42&lt;=Assumptions!$B$26,Assumptions!$B$25,IF($A42&lt;=Assumptions!$B$28,Assumptions!$B$27,Assumptions!$B$29))*Assumptions!$C$14))</f>
        <v>4</v>
      </c>
      <c r="D42" s="40" t="n">
        <f aca="false">D41*(1-Assumptions!$C$12)+C42</f>
        <v>57.1913627488926</v>
      </c>
      <c r="E42" s="41" t="n">
        <f aca="false">D42*Assumptions!$C$10*Assumptions!$C$11+IF($A42=Assumptions!$B$22,Assumptions!$B$21*Assumptions!$B$23,0)-Assumptions!$C$18-C42*Assumptions!$C$13-$B42</f>
        <v>-5384.25911753322</v>
      </c>
      <c r="F42" s="41" t="n">
        <f aca="false">F41+E42</f>
        <v>-229099.076766869</v>
      </c>
      <c r="G42" s="43" t="n">
        <f aca="false">IF(AND($A42&gt;=Assumptions!$B$24,E42&gt;=0),1,0)</f>
        <v>0</v>
      </c>
      <c r="H42" s="40" t="n">
        <f aca="false">IF($A42=Assumptions!$B$22,Assumptions!$B$21,IF($A42&lt;Assumptions!$B$24,0,IF($A42&lt;=Assumptions!$B$26,Assumptions!$B$25,IF($A42&lt;=Assumptions!$B$28,Assumptions!$B$27,Assumptions!$B$29))*Assumptions!$D$14))</f>
        <v>8</v>
      </c>
      <c r="I42" s="40" t="n">
        <f aca="false">I41*(1-Assumptions!$D$12)+H42</f>
        <v>141.066811411842</v>
      </c>
      <c r="J42" s="41" t="n">
        <f aca="false">I42*Assumptions!$D$10*Assumptions!$D$11+IF($A42=Assumptions!$B$22,Assumptions!$B$21*Assumptions!$B$23,0)-Assumptions!$D$18-H42*Assumptions!$D$13-$B42</f>
        <v>-2209.99457205593</v>
      </c>
      <c r="K42" s="41" t="n">
        <f aca="false">K41+J42</f>
        <v>-182743.508836858</v>
      </c>
      <c r="L42" s="43" t="n">
        <f aca="false">IF(AND($A42&gt;=Assumptions!$B$24,J42&gt;=0),1,0)</f>
        <v>0</v>
      </c>
      <c r="M42" s="40" t="n">
        <f aca="false">IF($A42=Assumptions!$B$22,Assumptions!$B$21,IF($A42&lt;Assumptions!$B$24,0,IF($A42&lt;=Assumptions!$B$26,Assumptions!$B$25,IF($A42&lt;=Assumptions!$B$28,Assumptions!$B$27,Assumptions!$B$29))*Assumptions!$E$14))</f>
        <v>12</v>
      </c>
      <c r="N42" s="40" t="n">
        <f aca="false">N41*(1-Assumptions!$E$12)+M42</f>
        <v>236.897841087723</v>
      </c>
      <c r="O42" s="41" t="n">
        <f aca="false">N42*Assumptions!$E$10*Assumptions!$E$11+IF($A42=Assumptions!$B$22,Assumptions!$B$21*Assumptions!$B$23,0)-Assumptions!$E$18-M42*Assumptions!$E$13-$B42</f>
        <v>3937.13665710544</v>
      </c>
      <c r="P42" s="41" t="n">
        <f aca="false">P41+O42</f>
        <v>-100369.696198167</v>
      </c>
      <c r="Q42" s="43" t="n">
        <f aca="false">IF(AND($A42&gt;=Assumptions!$B$24,O42&gt;=0),1,0)</f>
        <v>1</v>
      </c>
      <c r="R42" s="40" t="n">
        <f aca="false">IF($A42=Assumptions!$B$22,Assumptions!$B$21,IF($A42&lt;Assumptions!$B$24,0,IF($A42&lt;=Assumptions!$B$26,Assumptions!$B$25,IF($A42&lt;=Assumptions!$B$28,Assumptions!$B$27,Assumptions!$B$29))*Assumptions!$F$14))</f>
        <v>8</v>
      </c>
      <c r="S42" s="40" t="n">
        <f aca="false">S41*(1-Assumptions!$F$12)+R42</f>
        <v>141.066811411842</v>
      </c>
      <c r="T42" s="41" t="n">
        <f aca="false">S42*Assumptions!$F$10*Assumptions!$F$11+IF($A42=Assumptions!$B$22,Assumptions!$B$21*Assumptions!$B$23,0)-Assumptions!$F$18-R42*Assumptions!$F$13-$B42</f>
        <v>1790.00542794407</v>
      </c>
      <c r="U42" s="41" t="n">
        <f aca="false">U41+T42</f>
        <v>-34743.5088368585</v>
      </c>
      <c r="V42" s="43" t="n">
        <f aca="false">IF(AND($A42&gt;=Assumptions!$B$24,T42&gt;=0),1,0)</f>
        <v>1</v>
      </c>
      <c r="W42" s="40" t="n">
        <f aca="false">IF($A42=Assumptions!$B$22,Assumptions!$B$21,IF($A42&lt;Assumptions!$B$24,0,IF($A42&lt;=Assumptions!$B$26,Assumptions!$B$25,IF($A42&lt;=Assumptions!$B$28,Assumptions!$B$27,Assumptions!$B$29))*Assumptions!$G$14))</f>
        <v>8</v>
      </c>
      <c r="X42" s="40" t="n">
        <f aca="false">X41*(1-Assumptions!$G$12)+W42</f>
        <v>141.066811411842</v>
      </c>
      <c r="Y42" s="41" t="n">
        <f aca="false">X42*Assumptions!$G$10*Assumptions!$G$11+IF($A42=Assumptions!$B$22,Assumptions!$B$21*Assumptions!$B$23,0)-Assumptions!$G$18-W42*Assumptions!$G$13-$B42</f>
        <v>-2209.99457205593</v>
      </c>
      <c r="Z42" s="41" t="n">
        <f aca="false">Z41+Y42</f>
        <v>-182743.508836858</v>
      </c>
      <c r="AA42" s="43" t="n">
        <f aca="false">IF(AND($A42&gt;=Assumptions!$B$24,Y42&gt;=0),1,0)</f>
        <v>0</v>
      </c>
    </row>
    <row r="43" customFormat="false" ht="15" hidden="false" customHeight="false" outlineLevel="0" collapsed="false">
      <c r="A43" s="43" t="n">
        <v>38</v>
      </c>
      <c r="B43" s="41" t="n">
        <f aca="false">SUMIF(Assumptions!$B$33:$B$38,A43,Assumptions!$C$33:$C$38)</f>
        <v>0</v>
      </c>
      <c r="C43" s="40" t="n">
        <f aca="false">IF($A43=Assumptions!$B$22,Assumptions!$B$21,IF($A43&lt;Assumptions!$B$24,0,IF($A43&lt;=Assumptions!$B$26,Assumptions!$B$25,IF($A43&lt;=Assumptions!$B$28,Assumptions!$B$27,Assumptions!$B$29))*Assumptions!$C$14))</f>
        <v>4</v>
      </c>
      <c r="D43" s="40" t="n">
        <f aca="false">D42*(1-Assumptions!$C$12)+C43</f>
        <v>58.3317946114479</v>
      </c>
      <c r="E43" s="41" t="n">
        <f aca="false">D43*Assumptions!$C$10*Assumptions!$C$11+IF($A43=Assumptions!$B$22,Assumptions!$B$21*Assumptions!$B$23,0)-Assumptions!$C$18-C43*Assumptions!$C$13-$B43</f>
        <v>-5350.04616165656</v>
      </c>
      <c r="F43" s="41" t="n">
        <f aca="false">F42+E43</f>
        <v>-234449.122928525</v>
      </c>
      <c r="G43" s="43" t="n">
        <f aca="false">IF(AND($A43&gt;=Assumptions!$B$24,E43&gt;=0),1,0)</f>
        <v>0</v>
      </c>
      <c r="H43" s="40" t="n">
        <f aca="false">IF($A43=Assumptions!$B$22,Assumptions!$B$21,IF($A43&lt;Assumptions!$B$24,0,IF($A43&lt;=Assumptions!$B$26,Assumptions!$B$25,IF($A43&lt;=Assumptions!$B$28,Assumptions!$B$27,Assumptions!$B$29))*Assumptions!$D$14))</f>
        <v>8</v>
      </c>
      <c r="I43" s="40" t="n">
        <f aca="false">I42*(1-Assumptions!$D$12)+H43</f>
        <v>144.834807069487</v>
      </c>
      <c r="J43" s="41" t="n">
        <f aca="false">I43*Assumptions!$D$10*Assumptions!$D$11+IF($A43=Assumptions!$B$22,Assumptions!$B$21*Assumptions!$B$23,0)-Assumptions!$D$18-H43*Assumptions!$D$13-$B43</f>
        <v>-2068.69473489425</v>
      </c>
      <c r="K43" s="41" t="n">
        <f aca="false">K42+J43</f>
        <v>-184812.203571753</v>
      </c>
      <c r="L43" s="43" t="n">
        <f aca="false">IF(AND($A43&gt;=Assumptions!$B$24,J43&gt;=0),1,0)</f>
        <v>0</v>
      </c>
      <c r="M43" s="40" t="n">
        <f aca="false">IF($A43=Assumptions!$B$22,Assumptions!$B$21,IF($A43&lt;Assumptions!$B$24,0,IF($A43&lt;=Assumptions!$B$26,Assumptions!$B$25,IF($A43&lt;=Assumptions!$B$28,Assumptions!$B$27,Assumptions!$B$29))*Assumptions!$E$14))</f>
        <v>12</v>
      </c>
      <c r="N43" s="40" t="n">
        <f aca="false">N42*(1-Assumptions!$E$12)+M43</f>
        <v>244.159884265968</v>
      </c>
      <c r="O43" s="41" t="n">
        <f aca="false">N43*Assumptions!$E$10*Assumptions!$E$11+IF($A43=Assumptions!$B$22,Assumptions!$B$21*Assumptions!$B$23,0)-Assumptions!$E$18-M43*Assumptions!$E$13-$B43</f>
        <v>4318.39392396333</v>
      </c>
      <c r="P43" s="41" t="n">
        <f aca="false">P42+O43</f>
        <v>-96051.3022742033</v>
      </c>
      <c r="Q43" s="43" t="n">
        <f aca="false">IF(AND($A43&gt;=Assumptions!$B$24,O43&gt;=0),1,0)</f>
        <v>1</v>
      </c>
      <c r="R43" s="40" t="n">
        <f aca="false">IF($A43=Assumptions!$B$22,Assumptions!$B$21,IF($A43&lt;Assumptions!$B$24,0,IF($A43&lt;=Assumptions!$B$26,Assumptions!$B$25,IF($A43&lt;=Assumptions!$B$28,Assumptions!$B$27,Assumptions!$B$29))*Assumptions!$F$14))</f>
        <v>8</v>
      </c>
      <c r="S43" s="40" t="n">
        <f aca="false">S42*(1-Assumptions!$F$12)+R43</f>
        <v>144.834807069487</v>
      </c>
      <c r="T43" s="41" t="n">
        <f aca="false">S43*Assumptions!$F$10*Assumptions!$F$11+IF($A43=Assumptions!$B$22,Assumptions!$B$21*Assumptions!$B$23,0)-Assumptions!$F$18-R43*Assumptions!$F$13-$B43</f>
        <v>1931.30526510575</v>
      </c>
      <c r="U43" s="41" t="n">
        <f aca="false">U42+T43</f>
        <v>-32812.2035717527</v>
      </c>
      <c r="V43" s="43" t="n">
        <f aca="false">IF(AND($A43&gt;=Assumptions!$B$24,T43&gt;=0),1,0)</f>
        <v>1</v>
      </c>
      <c r="W43" s="40" t="n">
        <f aca="false">IF($A43=Assumptions!$B$22,Assumptions!$B$21,IF($A43&lt;Assumptions!$B$24,0,IF($A43&lt;=Assumptions!$B$26,Assumptions!$B$25,IF($A43&lt;=Assumptions!$B$28,Assumptions!$B$27,Assumptions!$B$29))*Assumptions!$G$14))</f>
        <v>8</v>
      </c>
      <c r="X43" s="40" t="n">
        <f aca="false">X42*(1-Assumptions!$G$12)+W43</f>
        <v>144.834807069487</v>
      </c>
      <c r="Y43" s="41" t="n">
        <f aca="false">X43*Assumptions!$G$10*Assumptions!$G$11+IF($A43=Assumptions!$B$22,Assumptions!$B$21*Assumptions!$B$23,0)-Assumptions!$G$18-W43*Assumptions!$G$13-$B43</f>
        <v>-2068.69473489425</v>
      </c>
      <c r="Z43" s="41" t="n">
        <f aca="false">Z42+Y43</f>
        <v>-184812.203571753</v>
      </c>
      <c r="AA43" s="43" t="n">
        <f aca="false">IF(AND($A43&gt;=Assumptions!$B$24,Y43&gt;=0),1,0)</f>
        <v>0</v>
      </c>
    </row>
    <row r="44" customFormat="false" ht="15" hidden="false" customHeight="false" outlineLevel="0" collapsed="false">
      <c r="A44" s="43" t="n">
        <v>39</v>
      </c>
      <c r="B44" s="41" t="n">
        <f aca="false">SUMIF(Assumptions!$B$33:$B$38,A44,Assumptions!$C$33:$C$38)</f>
        <v>0</v>
      </c>
      <c r="C44" s="40" t="n">
        <f aca="false">IF($A44=Assumptions!$B$22,Assumptions!$B$21,IF($A44&lt;Assumptions!$B$24,0,IF($A44&lt;=Assumptions!$B$26,Assumptions!$B$25,IF($A44&lt;=Assumptions!$B$28,Assumptions!$B$27,Assumptions!$B$29))*Assumptions!$C$14))</f>
        <v>4</v>
      </c>
      <c r="D44" s="40" t="n">
        <f aca="false">D43*(1-Assumptions!$C$12)+C44</f>
        <v>59.4152048808755</v>
      </c>
      <c r="E44" s="41" t="n">
        <f aca="false">D44*Assumptions!$C$10*Assumptions!$C$11+IF($A44=Assumptions!$B$22,Assumptions!$B$21*Assumptions!$B$23,0)-Assumptions!$C$18-C44*Assumptions!$C$13-$B44</f>
        <v>-5317.54385357373</v>
      </c>
      <c r="F44" s="41" t="n">
        <f aca="false">F43+E44</f>
        <v>-239766.666782099</v>
      </c>
      <c r="G44" s="43" t="n">
        <f aca="false">IF(AND($A44&gt;=Assumptions!$B$24,E44&gt;=0),1,0)</f>
        <v>0</v>
      </c>
      <c r="H44" s="40" t="n">
        <f aca="false">IF($A44=Assumptions!$B$22,Assumptions!$B$21,IF($A44&lt;Assumptions!$B$24,0,IF($A44&lt;=Assumptions!$B$26,Assumptions!$B$25,IF($A44&lt;=Assumptions!$B$28,Assumptions!$B$27,Assumptions!$B$29))*Assumptions!$D$14))</f>
        <v>8</v>
      </c>
      <c r="I44" s="40" t="n">
        <f aca="false">I43*(1-Assumptions!$D$12)+H44</f>
        <v>148.489762857402</v>
      </c>
      <c r="J44" s="41" t="n">
        <f aca="false">I44*Assumptions!$D$10*Assumptions!$D$11+IF($A44=Assumptions!$B$22,Assumptions!$B$21*Assumptions!$B$23,0)-Assumptions!$D$18-H44*Assumptions!$D$13-$B44</f>
        <v>-1931.63389284742</v>
      </c>
      <c r="K44" s="41" t="n">
        <f aca="false">K43+J44</f>
        <v>-186743.8374646</v>
      </c>
      <c r="L44" s="43" t="n">
        <f aca="false">IF(AND($A44&gt;=Assumptions!$B$24,J44&gt;=0),1,0)</f>
        <v>0</v>
      </c>
      <c r="M44" s="40" t="n">
        <f aca="false">IF($A44=Assumptions!$B$22,Assumptions!$B$21,IF($A44&lt;Assumptions!$B$24,0,IF($A44&lt;=Assumptions!$B$26,Assumptions!$B$25,IF($A44&lt;=Assumptions!$B$28,Assumptions!$B$27,Assumptions!$B$29))*Assumptions!$E$14))</f>
        <v>12</v>
      </c>
      <c r="N44" s="40" t="n">
        <f aca="false">N43*(1-Assumptions!$E$12)+M44</f>
        <v>251.276686580649</v>
      </c>
      <c r="O44" s="41" t="n">
        <f aca="false">N44*Assumptions!$E$10*Assumptions!$E$11+IF($A44=Assumptions!$B$22,Assumptions!$B$21*Assumptions!$B$23,0)-Assumptions!$E$18-M44*Assumptions!$E$13-$B44</f>
        <v>4692.02604548406</v>
      </c>
      <c r="P44" s="41" t="n">
        <f aca="false">P43+O44</f>
        <v>-91359.2762287193</v>
      </c>
      <c r="Q44" s="43" t="n">
        <f aca="false">IF(AND($A44&gt;=Assumptions!$B$24,O44&gt;=0),1,0)</f>
        <v>1</v>
      </c>
      <c r="R44" s="40" t="n">
        <f aca="false">IF($A44=Assumptions!$B$22,Assumptions!$B$21,IF($A44&lt;Assumptions!$B$24,0,IF($A44&lt;=Assumptions!$B$26,Assumptions!$B$25,IF($A44&lt;=Assumptions!$B$28,Assumptions!$B$27,Assumptions!$B$29))*Assumptions!$F$14))</f>
        <v>8</v>
      </c>
      <c r="S44" s="40" t="n">
        <f aca="false">S43*(1-Assumptions!$F$12)+R44</f>
        <v>148.489762857402</v>
      </c>
      <c r="T44" s="41" t="n">
        <f aca="false">S44*Assumptions!$F$10*Assumptions!$F$11+IF($A44=Assumptions!$B$22,Assumptions!$B$21*Assumptions!$B$23,0)-Assumptions!$F$18-R44*Assumptions!$F$13-$B44</f>
        <v>2068.36610715258</v>
      </c>
      <c r="U44" s="41" t="n">
        <f aca="false">U43+T44</f>
        <v>-30743.8374646001</v>
      </c>
      <c r="V44" s="43" t="n">
        <f aca="false">IF(AND($A44&gt;=Assumptions!$B$24,T44&gt;=0),1,0)</f>
        <v>1</v>
      </c>
      <c r="W44" s="40" t="n">
        <f aca="false">IF($A44=Assumptions!$B$22,Assumptions!$B$21,IF($A44&lt;Assumptions!$B$24,0,IF($A44&lt;=Assumptions!$B$26,Assumptions!$B$25,IF($A44&lt;=Assumptions!$B$28,Assumptions!$B$27,Assumptions!$B$29))*Assumptions!$G$14))</f>
        <v>8</v>
      </c>
      <c r="X44" s="40" t="n">
        <f aca="false">X43*(1-Assumptions!$G$12)+W44</f>
        <v>148.489762857402</v>
      </c>
      <c r="Y44" s="41" t="n">
        <f aca="false">X44*Assumptions!$G$10*Assumptions!$G$11+IF($A44=Assumptions!$B$22,Assumptions!$B$21*Assumptions!$B$23,0)-Assumptions!$G$18-W44*Assumptions!$G$13-$B44</f>
        <v>-1931.63389284742</v>
      </c>
      <c r="Z44" s="41" t="n">
        <f aca="false">Z43+Y44</f>
        <v>-186743.8374646</v>
      </c>
      <c r="AA44" s="43" t="n">
        <f aca="false">IF(AND($A44&gt;=Assumptions!$B$24,Y44&gt;=0),1,0)</f>
        <v>0</v>
      </c>
    </row>
    <row r="45" customFormat="false" ht="15" hidden="false" customHeight="false" outlineLevel="0" collapsed="false">
      <c r="A45" s="43" t="n">
        <v>40</v>
      </c>
      <c r="B45" s="41" t="n">
        <f aca="false">SUMIF(Assumptions!$B$33:$B$38,A45,Assumptions!$C$33:$C$38)</f>
        <v>0</v>
      </c>
      <c r="C45" s="40" t="n">
        <f aca="false">IF($A45=Assumptions!$B$22,Assumptions!$B$21,IF($A45&lt;Assumptions!$B$24,0,IF($A45&lt;=Assumptions!$B$26,Assumptions!$B$25,IF($A45&lt;=Assumptions!$B$28,Assumptions!$B$27,Assumptions!$B$29))*Assumptions!$C$14))</f>
        <v>4</v>
      </c>
      <c r="D45" s="40" t="n">
        <f aca="false">D44*(1-Assumptions!$C$12)+C45</f>
        <v>60.4444446368318</v>
      </c>
      <c r="E45" s="41" t="n">
        <f aca="false">D45*Assumptions!$C$10*Assumptions!$C$11+IF($A45=Assumptions!$B$22,Assumptions!$B$21*Assumptions!$B$23,0)-Assumptions!$C$18-C45*Assumptions!$C$13-$B45</f>
        <v>-5286.66666089505</v>
      </c>
      <c r="F45" s="41" t="n">
        <f aca="false">F44+E45</f>
        <v>-245053.333442994</v>
      </c>
      <c r="G45" s="43" t="n">
        <f aca="false">IF(AND($A45&gt;=Assumptions!$B$24,E45&gt;=0),1,0)</f>
        <v>0</v>
      </c>
      <c r="H45" s="40" t="n">
        <f aca="false">IF($A45=Assumptions!$B$22,Assumptions!$B$21,IF($A45&lt;Assumptions!$B$24,0,IF($A45&lt;=Assumptions!$B$26,Assumptions!$B$25,IF($A45&lt;=Assumptions!$B$28,Assumptions!$B$27,Assumptions!$B$29))*Assumptions!$D$14))</f>
        <v>8</v>
      </c>
      <c r="I45" s="40" t="n">
        <f aca="false">I44*(1-Assumptions!$D$12)+H45</f>
        <v>152.03506997168</v>
      </c>
      <c r="J45" s="41" t="n">
        <f aca="false">I45*Assumptions!$D$10*Assumptions!$D$11+IF($A45=Assumptions!$B$22,Assumptions!$B$21*Assumptions!$B$23,0)-Assumptions!$D$18-H45*Assumptions!$D$13-$B45</f>
        <v>-1798.684876062</v>
      </c>
      <c r="K45" s="41" t="n">
        <f aca="false">K44+J45</f>
        <v>-188542.522340662</v>
      </c>
      <c r="L45" s="43" t="n">
        <f aca="false">IF(AND($A45&gt;=Assumptions!$B$24,J45&gt;=0),1,0)</f>
        <v>0</v>
      </c>
      <c r="M45" s="40" t="n">
        <f aca="false">IF($A45=Assumptions!$B$22,Assumptions!$B$21,IF($A45&lt;Assumptions!$B$24,0,IF($A45&lt;=Assumptions!$B$26,Assumptions!$B$25,IF($A45&lt;=Assumptions!$B$28,Assumptions!$B$27,Assumptions!$B$29))*Assumptions!$E$14))</f>
        <v>12</v>
      </c>
      <c r="N45" s="40" t="n">
        <f aca="false">N44*(1-Assumptions!$E$12)+M45</f>
        <v>258.251152849036</v>
      </c>
      <c r="O45" s="41" t="n">
        <f aca="false">N45*Assumptions!$E$10*Assumptions!$E$11+IF($A45=Assumptions!$B$22,Assumptions!$B$21*Assumptions!$B$23,0)-Assumptions!$E$18-M45*Assumptions!$E$13-$B45</f>
        <v>5058.18552457438</v>
      </c>
      <c r="P45" s="41" t="n">
        <f aca="false">P44+O45</f>
        <v>-86301.0907041449</v>
      </c>
      <c r="Q45" s="43" t="n">
        <f aca="false">IF(AND($A45&gt;=Assumptions!$B$24,O45&gt;=0),1,0)</f>
        <v>1</v>
      </c>
      <c r="R45" s="40" t="n">
        <f aca="false">IF($A45=Assumptions!$B$22,Assumptions!$B$21,IF($A45&lt;Assumptions!$B$24,0,IF($A45&lt;=Assumptions!$B$26,Assumptions!$B$25,IF($A45&lt;=Assumptions!$B$28,Assumptions!$B$27,Assumptions!$B$29))*Assumptions!$F$14))</f>
        <v>8</v>
      </c>
      <c r="S45" s="40" t="n">
        <f aca="false">S44*(1-Assumptions!$F$12)+R45</f>
        <v>152.03506997168</v>
      </c>
      <c r="T45" s="41" t="n">
        <f aca="false">S45*Assumptions!$F$10*Assumptions!$F$11+IF($A45=Assumptions!$B$22,Assumptions!$B$21*Assumptions!$B$23,0)-Assumptions!$F$18-R45*Assumptions!$F$13-$B45</f>
        <v>2201.315123938</v>
      </c>
      <c r="U45" s="41" t="n">
        <f aca="false">U44+T45</f>
        <v>-28542.5223406621</v>
      </c>
      <c r="V45" s="43" t="n">
        <f aca="false">IF(AND($A45&gt;=Assumptions!$B$24,T45&gt;=0),1,0)</f>
        <v>1</v>
      </c>
      <c r="W45" s="40" t="n">
        <f aca="false">IF($A45=Assumptions!$B$22,Assumptions!$B$21,IF($A45&lt;Assumptions!$B$24,0,IF($A45&lt;=Assumptions!$B$26,Assumptions!$B$25,IF($A45&lt;=Assumptions!$B$28,Assumptions!$B$27,Assumptions!$B$29))*Assumptions!$G$14))</f>
        <v>8</v>
      </c>
      <c r="X45" s="40" t="n">
        <f aca="false">X44*(1-Assumptions!$G$12)+W45</f>
        <v>152.03506997168</v>
      </c>
      <c r="Y45" s="41" t="n">
        <f aca="false">X45*Assumptions!$G$10*Assumptions!$G$11+IF($A45=Assumptions!$B$22,Assumptions!$B$21*Assumptions!$B$23,0)-Assumptions!$G$18-W45*Assumptions!$G$13-$B45</f>
        <v>-1798.684876062</v>
      </c>
      <c r="Z45" s="41" t="n">
        <f aca="false">Z44+Y45</f>
        <v>-188542.522340662</v>
      </c>
      <c r="AA45" s="43" t="n">
        <f aca="false">IF(AND($A45&gt;=Assumptions!$B$24,Y45&gt;=0),1,0)</f>
        <v>0</v>
      </c>
    </row>
    <row r="46" customFormat="false" ht="15" hidden="false" customHeight="false" outlineLevel="0" collapsed="false">
      <c r="A46" s="43" t="n">
        <v>41</v>
      </c>
      <c r="B46" s="41" t="n">
        <f aca="false">SUMIF(Assumptions!$B$33:$B$38,A46,Assumptions!$C$33:$C$38)</f>
        <v>0</v>
      </c>
      <c r="C46" s="40" t="n">
        <f aca="false">IF($A46=Assumptions!$B$22,Assumptions!$B$21,IF($A46&lt;Assumptions!$B$24,0,IF($A46&lt;=Assumptions!$B$26,Assumptions!$B$25,IF($A46&lt;=Assumptions!$B$28,Assumptions!$B$27,Assumptions!$B$29))*Assumptions!$C$14))</f>
        <v>4</v>
      </c>
      <c r="D46" s="40" t="n">
        <f aca="false">D45*(1-Assumptions!$C$12)+C46</f>
        <v>61.4222224049902</v>
      </c>
      <c r="E46" s="41" t="n">
        <f aca="false">D46*Assumptions!$C$10*Assumptions!$C$11+IF($A46=Assumptions!$B$22,Assumptions!$B$21*Assumptions!$B$23,0)-Assumptions!$C$18-C46*Assumptions!$C$13-$B46</f>
        <v>-5257.3333278503</v>
      </c>
      <c r="F46" s="41" t="n">
        <f aca="false">F45+E46</f>
        <v>-250310.666770844</v>
      </c>
      <c r="G46" s="43" t="n">
        <f aca="false">IF(AND($A46&gt;=Assumptions!$B$24,E46&gt;=0),1,0)</f>
        <v>0</v>
      </c>
      <c r="H46" s="40" t="n">
        <f aca="false">IF($A46=Assumptions!$B$22,Assumptions!$B$21,IF($A46&lt;Assumptions!$B$24,0,IF($A46&lt;=Assumptions!$B$26,Assumptions!$B$25,IF($A46&lt;=Assumptions!$B$28,Assumptions!$B$27,Assumptions!$B$29))*Assumptions!$D$14))</f>
        <v>8</v>
      </c>
      <c r="I46" s="40" t="n">
        <f aca="false">I45*(1-Assumptions!$D$12)+H46</f>
        <v>155.47401787253</v>
      </c>
      <c r="J46" s="41" t="n">
        <f aca="false">I46*Assumptions!$D$10*Assumptions!$D$11+IF($A46=Assumptions!$B$22,Assumptions!$B$21*Assumptions!$B$23,0)-Assumptions!$D$18-H46*Assumptions!$D$13-$B46</f>
        <v>-1669.72432978014</v>
      </c>
      <c r="K46" s="41" t="n">
        <f aca="false">K45+J46</f>
        <v>-190212.246670442</v>
      </c>
      <c r="L46" s="43" t="n">
        <f aca="false">IF(AND($A46&gt;=Assumptions!$B$24,J46&gt;=0),1,0)</f>
        <v>0</v>
      </c>
      <c r="M46" s="40" t="n">
        <f aca="false">IF($A46=Assumptions!$B$22,Assumptions!$B$21,IF($A46&lt;Assumptions!$B$24,0,IF($A46&lt;=Assumptions!$B$26,Assumptions!$B$25,IF($A46&lt;=Assumptions!$B$28,Assumptions!$B$27,Assumptions!$B$29))*Assumptions!$E$14))</f>
        <v>12</v>
      </c>
      <c r="N46" s="40" t="n">
        <f aca="false">N45*(1-Assumptions!$E$12)+M46</f>
        <v>265.086129792055</v>
      </c>
      <c r="O46" s="41" t="n">
        <f aca="false">N46*Assumptions!$E$10*Assumptions!$E$11+IF($A46=Assumptions!$B$22,Assumptions!$B$21*Assumptions!$B$23,0)-Assumptions!$E$18-M46*Assumptions!$E$13-$B46</f>
        <v>5417.0218140829</v>
      </c>
      <c r="P46" s="41" t="n">
        <f aca="false">P45+O46</f>
        <v>-80884.068890062</v>
      </c>
      <c r="Q46" s="43" t="n">
        <f aca="false">IF(AND($A46&gt;=Assumptions!$B$24,O46&gt;=0),1,0)</f>
        <v>1</v>
      </c>
      <c r="R46" s="40" t="n">
        <f aca="false">IF($A46=Assumptions!$B$22,Assumptions!$B$21,IF($A46&lt;Assumptions!$B$24,0,IF($A46&lt;=Assumptions!$B$26,Assumptions!$B$25,IF($A46&lt;=Assumptions!$B$28,Assumptions!$B$27,Assumptions!$B$29))*Assumptions!$F$14))</f>
        <v>8</v>
      </c>
      <c r="S46" s="40" t="n">
        <f aca="false">S45*(1-Assumptions!$F$12)+R46</f>
        <v>155.47401787253</v>
      </c>
      <c r="T46" s="41" t="n">
        <f aca="false">S46*Assumptions!$F$10*Assumptions!$F$11+IF($A46=Assumptions!$B$22,Assumptions!$B$21*Assumptions!$B$23,0)-Assumptions!$F$18-R46*Assumptions!$F$13-$B46</f>
        <v>2330.27567021986</v>
      </c>
      <c r="U46" s="41" t="n">
        <f aca="false">U45+T46</f>
        <v>-26212.2466704423</v>
      </c>
      <c r="V46" s="43" t="n">
        <f aca="false">IF(AND($A46&gt;=Assumptions!$B$24,T46&gt;=0),1,0)</f>
        <v>1</v>
      </c>
      <c r="W46" s="40" t="n">
        <f aca="false">IF($A46=Assumptions!$B$22,Assumptions!$B$21,IF($A46&lt;Assumptions!$B$24,0,IF($A46&lt;=Assumptions!$B$26,Assumptions!$B$25,IF($A46&lt;=Assumptions!$B$28,Assumptions!$B$27,Assumptions!$B$29))*Assumptions!$G$14))</f>
        <v>8</v>
      </c>
      <c r="X46" s="40" t="n">
        <f aca="false">X45*(1-Assumptions!$G$12)+W46</f>
        <v>155.47401787253</v>
      </c>
      <c r="Y46" s="41" t="n">
        <f aca="false">X46*Assumptions!$G$10*Assumptions!$G$11+IF($A46=Assumptions!$B$22,Assumptions!$B$21*Assumptions!$B$23,0)-Assumptions!$G$18-W46*Assumptions!$G$13-$B46</f>
        <v>-1669.72432978014</v>
      </c>
      <c r="Z46" s="41" t="n">
        <f aca="false">Z45+Y46</f>
        <v>-190212.246670442</v>
      </c>
      <c r="AA46" s="43" t="n">
        <f aca="false">IF(AND($A46&gt;=Assumptions!$B$24,Y46&gt;=0),1,0)</f>
        <v>0</v>
      </c>
    </row>
    <row r="47" customFormat="false" ht="15" hidden="false" customHeight="false" outlineLevel="0" collapsed="false">
      <c r="A47" s="43" t="n">
        <v>42</v>
      </c>
      <c r="B47" s="41" t="n">
        <f aca="false">SUMIF(Assumptions!$B$33:$B$38,A47,Assumptions!$C$33:$C$38)</f>
        <v>0</v>
      </c>
      <c r="C47" s="40" t="n">
        <f aca="false">IF($A47=Assumptions!$B$22,Assumptions!$B$21,IF($A47&lt;Assumptions!$B$24,0,IF($A47&lt;=Assumptions!$B$26,Assumptions!$B$25,IF($A47&lt;=Assumptions!$B$28,Assumptions!$B$27,Assumptions!$B$29))*Assumptions!$C$14))</f>
        <v>4</v>
      </c>
      <c r="D47" s="40" t="n">
        <f aca="false">D46*(1-Assumptions!$C$12)+C47</f>
        <v>62.3511112847407</v>
      </c>
      <c r="E47" s="41" t="n">
        <f aca="false">D47*Assumptions!$C$10*Assumptions!$C$11+IF($A47=Assumptions!$B$22,Assumptions!$B$21*Assumptions!$B$23,0)-Assumptions!$C$18-C47*Assumptions!$C$13-$B47</f>
        <v>-5229.46666145778</v>
      </c>
      <c r="F47" s="41" t="n">
        <f aca="false">F46+E47</f>
        <v>-255540.133432302</v>
      </c>
      <c r="G47" s="43" t="n">
        <f aca="false">IF(AND($A47&gt;=Assumptions!$B$24,E47&gt;=0),1,0)</f>
        <v>0</v>
      </c>
      <c r="H47" s="40" t="n">
        <f aca="false">IF($A47=Assumptions!$B$22,Assumptions!$B$21,IF($A47&lt;Assumptions!$B$24,0,IF($A47&lt;=Assumptions!$B$26,Assumptions!$B$25,IF($A47&lt;=Assumptions!$B$28,Assumptions!$B$27,Assumptions!$B$29))*Assumptions!$D$14))</f>
        <v>8</v>
      </c>
      <c r="I47" s="40" t="n">
        <f aca="false">I46*(1-Assumptions!$D$12)+H47</f>
        <v>158.809797336354</v>
      </c>
      <c r="J47" s="41" t="n">
        <f aca="false">I47*Assumptions!$D$10*Assumptions!$D$11+IF($A47=Assumptions!$B$22,Assumptions!$B$21*Assumptions!$B$23,0)-Assumptions!$D$18-H47*Assumptions!$D$13-$B47</f>
        <v>-1544.63259988674</v>
      </c>
      <c r="K47" s="41" t="n">
        <f aca="false">K46+J47</f>
        <v>-191756.879270329</v>
      </c>
      <c r="L47" s="43" t="n">
        <f aca="false">IF(AND($A47&gt;=Assumptions!$B$24,J47&gt;=0),1,0)</f>
        <v>0</v>
      </c>
      <c r="M47" s="40" t="n">
        <f aca="false">IF($A47=Assumptions!$B$22,Assumptions!$B$21,IF($A47&lt;Assumptions!$B$24,0,IF($A47&lt;=Assumptions!$B$26,Assumptions!$B$25,IF($A47&lt;=Assumptions!$B$28,Assumptions!$B$27,Assumptions!$B$29))*Assumptions!$E$14))</f>
        <v>12</v>
      </c>
      <c r="N47" s="40" t="n">
        <f aca="false">N46*(1-Assumptions!$E$12)+M47</f>
        <v>271.784407196214</v>
      </c>
      <c r="O47" s="41" t="n">
        <f aca="false">N47*Assumptions!$E$10*Assumptions!$E$11+IF($A47=Assumptions!$B$22,Assumptions!$B$21*Assumptions!$B$23,0)-Assumptions!$E$18-M47*Assumptions!$E$13-$B47</f>
        <v>5768.68137780124</v>
      </c>
      <c r="P47" s="41" t="n">
        <f aca="false">P46+O47</f>
        <v>-75115.3875122608</v>
      </c>
      <c r="Q47" s="43" t="n">
        <f aca="false">IF(AND($A47&gt;=Assumptions!$B$24,O47&gt;=0),1,0)</f>
        <v>1</v>
      </c>
      <c r="R47" s="40" t="n">
        <f aca="false">IF($A47=Assumptions!$B$22,Assumptions!$B$21,IF($A47&lt;Assumptions!$B$24,0,IF($A47&lt;=Assumptions!$B$26,Assumptions!$B$25,IF($A47&lt;=Assumptions!$B$28,Assumptions!$B$27,Assumptions!$B$29))*Assumptions!$F$14))</f>
        <v>8</v>
      </c>
      <c r="S47" s="40" t="n">
        <f aca="false">S46*(1-Assumptions!$F$12)+R47</f>
        <v>158.809797336354</v>
      </c>
      <c r="T47" s="41" t="n">
        <f aca="false">S47*Assumptions!$F$10*Assumptions!$F$11+IF($A47=Assumptions!$B$22,Assumptions!$B$21*Assumptions!$B$23,0)-Assumptions!$F$18-R47*Assumptions!$F$13-$B47</f>
        <v>2455.36740011327</v>
      </c>
      <c r="U47" s="41" t="n">
        <f aca="false">U46+T47</f>
        <v>-23756.879270329</v>
      </c>
      <c r="V47" s="43" t="n">
        <f aca="false">IF(AND($A47&gt;=Assumptions!$B$24,T47&gt;=0),1,0)</f>
        <v>1</v>
      </c>
      <c r="W47" s="40" t="n">
        <f aca="false">IF($A47=Assumptions!$B$22,Assumptions!$B$21,IF($A47&lt;Assumptions!$B$24,0,IF($A47&lt;=Assumptions!$B$26,Assumptions!$B$25,IF($A47&lt;=Assumptions!$B$28,Assumptions!$B$27,Assumptions!$B$29))*Assumptions!$G$14))</f>
        <v>8</v>
      </c>
      <c r="X47" s="40" t="n">
        <f aca="false">X46*(1-Assumptions!$G$12)+W47</f>
        <v>158.809797336354</v>
      </c>
      <c r="Y47" s="41" t="n">
        <f aca="false">X47*Assumptions!$G$10*Assumptions!$G$11+IF($A47=Assumptions!$B$22,Assumptions!$B$21*Assumptions!$B$23,0)-Assumptions!$G$18-W47*Assumptions!$G$13-$B47</f>
        <v>-1544.63259988674</v>
      </c>
      <c r="Z47" s="41" t="n">
        <f aca="false">Z46+Y47</f>
        <v>-191756.879270329</v>
      </c>
      <c r="AA47" s="43" t="n">
        <f aca="false">IF(AND($A47&gt;=Assumptions!$B$24,Y47&gt;=0),1,0)</f>
        <v>0</v>
      </c>
    </row>
    <row r="48" customFormat="false" ht="15" hidden="false" customHeight="false" outlineLevel="0" collapsed="false">
      <c r="A48" s="43" t="n">
        <v>43</v>
      </c>
      <c r="B48" s="41" t="n">
        <f aca="false">SUMIF(Assumptions!$B$33:$B$38,A48,Assumptions!$C$33:$C$38)</f>
        <v>0</v>
      </c>
      <c r="C48" s="40" t="n">
        <f aca="false">IF($A48=Assumptions!$B$22,Assumptions!$B$21,IF($A48&lt;Assumptions!$B$24,0,IF($A48&lt;=Assumptions!$B$26,Assumptions!$B$25,IF($A48&lt;=Assumptions!$B$28,Assumptions!$B$27,Assumptions!$B$29))*Assumptions!$C$14))</f>
        <v>4</v>
      </c>
      <c r="D48" s="40" t="n">
        <f aca="false">D47*(1-Assumptions!$C$12)+C48</f>
        <v>63.2335557205036</v>
      </c>
      <c r="E48" s="41" t="n">
        <f aca="false">D48*Assumptions!$C$10*Assumptions!$C$11+IF($A48=Assumptions!$B$22,Assumptions!$B$21*Assumptions!$B$23,0)-Assumptions!$C$18-C48*Assumptions!$C$13-$B48</f>
        <v>-5202.99332838489</v>
      </c>
      <c r="F48" s="41" t="n">
        <f aca="false">F47+E48</f>
        <v>-260743.126760687</v>
      </c>
      <c r="G48" s="43" t="n">
        <f aca="false">IF(AND($A48&gt;=Assumptions!$B$24,E48&gt;=0),1,0)</f>
        <v>0</v>
      </c>
      <c r="H48" s="40" t="n">
        <f aca="false">IF($A48=Assumptions!$B$22,Assumptions!$B$21,IF($A48&lt;Assumptions!$B$24,0,IF($A48&lt;=Assumptions!$B$26,Assumptions!$B$25,IF($A48&lt;=Assumptions!$B$28,Assumptions!$B$27,Assumptions!$B$29))*Assumptions!$D$14))</f>
        <v>8</v>
      </c>
      <c r="I48" s="40" t="n">
        <f aca="false">I47*(1-Assumptions!$D$12)+H48</f>
        <v>162.045503416263</v>
      </c>
      <c r="J48" s="41" t="n">
        <f aca="false">I48*Assumptions!$D$10*Assumptions!$D$11+IF($A48=Assumptions!$B$22,Assumptions!$B$21*Assumptions!$B$23,0)-Assumptions!$D$18-H48*Assumptions!$D$13-$B48</f>
        <v>-1423.29362189013</v>
      </c>
      <c r="K48" s="41" t="n">
        <f aca="false">K47+J48</f>
        <v>-193180.172892219</v>
      </c>
      <c r="L48" s="43" t="n">
        <f aca="false">IF(AND($A48&gt;=Assumptions!$B$24,J48&gt;=0),1,0)</f>
        <v>0</v>
      </c>
      <c r="M48" s="40" t="n">
        <f aca="false">IF($A48=Assumptions!$B$22,Assumptions!$B$21,IF($A48&lt;Assumptions!$B$24,0,IF($A48&lt;=Assumptions!$B$26,Assumptions!$B$25,IF($A48&lt;=Assumptions!$B$28,Assumptions!$B$27,Assumptions!$B$29))*Assumptions!$E$14))</f>
        <v>12</v>
      </c>
      <c r="N48" s="40" t="n">
        <f aca="false">N47*(1-Assumptions!$E$12)+M48</f>
        <v>278.34871905229</v>
      </c>
      <c r="O48" s="41" t="n">
        <f aca="false">N48*Assumptions!$E$10*Assumptions!$E$11+IF($A48=Assumptions!$B$22,Assumptions!$B$21*Assumptions!$B$23,0)-Assumptions!$E$18-M48*Assumptions!$E$13-$B48</f>
        <v>6113.30775024521</v>
      </c>
      <c r="P48" s="41" t="n">
        <f aca="false">P47+O48</f>
        <v>-69002.0797620156</v>
      </c>
      <c r="Q48" s="43" t="n">
        <f aca="false">IF(AND($A48&gt;=Assumptions!$B$24,O48&gt;=0),1,0)</f>
        <v>1</v>
      </c>
      <c r="R48" s="40" t="n">
        <f aca="false">IF($A48=Assumptions!$B$22,Assumptions!$B$21,IF($A48&lt;Assumptions!$B$24,0,IF($A48&lt;=Assumptions!$B$26,Assumptions!$B$25,IF($A48&lt;=Assumptions!$B$28,Assumptions!$B$27,Assumptions!$B$29))*Assumptions!$F$14))</f>
        <v>8</v>
      </c>
      <c r="S48" s="40" t="n">
        <f aca="false">S47*(1-Assumptions!$F$12)+R48</f>
        <v>162.045503416263</v>
      </c>
      <c r="T48" s="41" t="n">
        <f aca="false">S48*Assumptions!$F$10*Assumptions!$F$11+IF($A48=Assumptions!$B$22,Assumptions!$B$21*Assumptions!$B$23,0)-Assumptions!$F$18-R48*Assumptions!$F$13-$B48</f>
        <v>2576.70637810987</v>
      </c>
      <c r="U48" s="41" t="n">
        <f aca="false">U47+T48</f>
        <v>-21180.1728922191</v>
      </c>
      <c r="V48" s="43" t="n">
        <f aca="false">IF(AND($A48&gt;=Assumptions!$B$24,T48&gt;=0),1,0)</f>
        <v>1</v>
      </c>
      <c r="W48" s="40" t="n">
        <f aca="false">IF($A48=Assumptions!$B$22,Assumptions!$B$21,IF($A48&lt;Assumptions!$B$24,0,IF($A48&lt;=Assumptions!$B$26,Assumptions!$B$25,IF($A48&lt;=Assumptions!$B$28,Assumptions!$B$27,Assumptions!$B$29))*Assumptions!$G$14))</f>
        <v>8</v>
      </c>
      <c r="X48" s="40" t="n">
        <f aca="false">X47*(1-Assumptions!$G$12)+W48</f>
        <v>162.045503416263</v>
      </c>
      <c r="Y48" s="41" t="n">
        <f aca="false">X48*Assumptions!$G$10*Assumptions!$G$11+IF($A48=Assumptions!$B$22,Assumptions!$B$21*Assumptions!$B$23,0)-Assumptions!$G$18-W48*Assumptions!$G$13-$B48</f>
        <v>-1423.29362189013</v>
      </c>
      <c r="Z48" s="41" t="n">
        <f aca="false">Z47+Y48</f>
        <v>-193180.172892219</v>
      </c>
      <c r="AA48" s="43" t="n">
        <f aca="false">IF(AND($A48&gt;=Assumptions!$B$24,Y48&gt;=0),1,0)</f>
        <v>0</v>
      </c>
    </row>
    <row r="49" customFormat="false" ht="15" hidden="false" customHeight="false" outlineLevel="0" collapsed="false">
      <c r="A49" s="43" t="n">
        <v>44</v>
      </c>
      <c r="B49" s="41" t="n">
        <f aca="false">SUMIF(Assumptions!$B$33:$B$38,A49,Assumptions!$C$33:$C$38)</f>
        <v>0</v>
      </c>
      <c r="C49" s="40" t="n">
        <f aca="false">IF($A49=Assumptions!$B$22,Assumptions!$B$21,IF($A49&lt;Assumptions!$B$24,0,IF($A49&lt;=Assumptions!$B$26,Assumptions!$B$25,IF($A49&lt;=Assumptions!$B$28,Assumptions!$B$27,Assumptions!$B$29))*Assumptions!$C$14))</f>
        <v>4</v>
      </c>
      <c r="D49" s="40" t="n">
        <f aca="false">D48*(1-Assumptions!$C$12)+C49</f>
        <v>64.0718779344784</v>
      </c>
      <c r="E49" s="41" t="n">
        <f aca="false">D49*Assumptions!$C$10*Assumptions!$C$11+IF($A49=Assumptions!$B$22,Assumptions!$B$21*Assumptions!$B$23,0)-Assumptions!$C$18-C49*Assumptions!$C$13-$B49</f>
        <v>-5177.84366196565</v>
      </c>
      <c r="F49" s="41" t="n">
        <f aca="false">F48+E49</f>
        <v>-265920.970422653</v>
      </c>
      <c r="G49" s="43" t="n">
        <f aca="false">IF(AND($A49&gt;=Assumptions!$B$24,E49&gt;=0),1,0)</f>
        <v>0</v>
      </c>
      <c r="H49" s="40" t="n">
        <f aca="false">IF($A49=Assumptions!$B$22,Assumptions!$B$21,IF($A49&lt;Assumptions!$B$24,0,IF($A49&lt;=Assumptions!$B$26,Assumptions!$B$25,IF($A49&lt;=Assumptions!$B$28,Assumptions!$B$27,Assumptions!$B$29))*Assumptions!$D$14))</f>
        <v>8</v>
      </c>
      <c r="I49" s="40" t="n">
        <f aca="false">I48*(1-Assumptions!$D$12)+H49</f>
        <v>165.184138313775</v>
      </c>
      <c r="J49" s="41" t="n">
        <f aca="false">I49*Assumptions!$D$10*Assumptions!$D$11+IF($A49=Assumptions!$B$22,Assumptions!$B$21*Assumptions!$B$23,0)-Assumptions!$D$18-H49*Assumptions!$D$13-$B49</f>
        <v>-1305.59481323343</v>
      </c>
      <c r="K49" s="41" t="n">
        <f aca="false">K48+J49</f>
        <v>-194485.767705453</v>
      </c>
      <c r="L49" s="43" t="n">
        <f aca="false">IF(AND($A49&gt;=Assumptions!$B$24,J49&gt;=0),1,0)</f>
        <v>0</v>
      </c>
      <c r="M49" s="40" t="n">
        <f aca="false">IF($A49=Assumptions!$B$22,Assumptions!$B$21,IF($A49&lt;Assumptions!$B$24,0,IF($A49&lt;=Assumptions!$B$26,Assumptions!$B$25,IF($A49&lt;=Assumptions!$B$28,Assumptions!$B$27,Assumptions!$B$29))*Assumptions!$E$14))</f>
        <v>12</v>
      </c>
      <c r="N49" s="40" t="n">
        <f aca="false">N48*(1-Assumptions!$E$12)+M49</f>
        <v>284.781744671244</v>
      </c>
      <c r="O49" s="41" t="n">
        <f aca="false">N49*Assumptions!$E$10*Assumptions!$E$11+IF($A49=Assumptions!$B$22,Assumptions!$B$21*Assumptions!$B$23,0)-Assumptions!$E$18-M49*Assumptions!$E$13-$B49</f>
        <v>6451.04159524031</v>
      </c>
      <c r="P49" s="41" t="n">
        <f aca="false">P48+O49</f>
        <v>-62551.0381667752</v>
      </c>
      <c r="Q49" s="43" t="n">
        <f aca="false">IF(AND($A49&gt;=Assumptions!$B$24,O49&gt;=0),1,0)</f>
        <v>1</v>
      </c>
      <c r="R49" s="40" t="n">
        <f aca="false">IF($A49=Assumptions!$B$22,Assumptions!$B$21,IF($A49&lt;Assumptions!$B$24,0,IF($A49&lt;=Assumptions!$B$26,Assumptions!$B$25,IF($A49&lt;=Assumptions!$B$28,Assumptions!$B$27,Assumptions!$B$29))*Assumptions!$F$14))</f>
        <v>8</v>
      </c>
      <c r="S49" s="40" t="n">
        <f aca="false">S48*(1-Assumptions!$F$12)+R49</f>
        <v>165.184138313775</v>
      </c>
      <c r="T49" s="41" t="n">
        <f aca="false">S49*Assumptions!$F$10*Assumptions!$F$11+IF($A49=Assumptions!$B$22,Assumptions!$B$21*Assumptions!$B$23,0)-Assumptions!$F$18-R49*Assumptions!$F$13-$B49</f>
        <v>2694.40518676657</v>
      </c>
      <c r="U49" s="41" t="n">
        <f aca="false">U48+T49</f>
        <v>-18485.7677054526</v>
      </c>
      <c r="V49" s="43" t="n">
        <f aca="false">IF(AND($A49&gt;=Assumptions!$B$24,T49&gt;=0),1,0)</f>
        <v>1</v>
      </c>
      <c r="W49" s="40" t="n">
        <f aca="false">IF($A49=Assumptions!$B$22,Assumptions!$B$21,IF($A49&lt;Assumptions!$B$24,0,IF($A49&lt;=Assumptions!$B$26,Assumptions!$B$25,IF($A49&lt;=Assumptions!$B$28,Assumptions!$B$27,Assumptions!$B$29))*Assumptions!$G$14))</f>
        <v>8</v>
      </c>
      <c r="X49" s="40" t="n">
        <f aca="false">X48*(1-Assumptions!$G$12)+W49</f>
        <v>165.184138313775</v>
      </c>
      <c r="Y49" s="41" t="n">
        <f aca="false">X49*Assumptions!$G$10*Assumptions!$G$11+IF($A49=Assumptions!$B$22,Assumptions!$B$21*Assumptions!$B$23,0)-Assumptions!$G$18-W49*Assumptions!$G$13-$B49</f>
        <v>-1305.59481323343</v>
      </c>
      <c r="Z49" s="41" t="n">
        <f aca="false">Z48+Y49</f>
        <v>-194485.767705453</v>
      </c>
      <c r="AA49" s="43" t="n">
        <f aca="false">IF(AND($A49&gt;=Assumptions!$B$24,Y49&gt;=0),1,0)</f>
        <v>0</v>
      </c>
    </row>
    <row r="50" customFormat="false" ht="15" hidden="false" customHeight="false" outlineLevel="0" collapsed="false">
      <c r="A50" s="43" t="n">
        <v>45</v>
      </c>
      <c r="B50" s="41" t="n">
        <f aca="false">SUMIF(Assumptions!$B$33:$B$38,A50,Assumptions!$C$33:$C$38)</f>
        <v>0</v>
      </c>
      <c r="C50" s="40" t="n">
        <f aca="false">IF($A50=Assumptions!$B$22,Assumptions!$B$21,IF($A50&lt;Assumptions!$B$24,0,IF($A50&lt;=Assumptions!$B$26,Assumptions!$B$25,IF($A50&lt;=Assumptions!$B$28,Assumptions!$B$27,Assumptions!$B$29))*Assumptions!$C$14))</f>
        <v>4</v>
      </c>
      <c r="D50" s="40" t="n">
        <f aca="false">D49*(1-Assumptions!$C$12)+C50</f>
        <v>64.8682840377545</v>
      </c>
      <c r="E50" s="41" t="n">
        <f aca="false">D50*Assumptions!$C$10*Assumptions!$C$11+IF($A50=Assumptions!$B$22,Assumptions!$B$21*Assumptions!$B$23,0)-Assumptions!$C$18-C50*Assumptions!$C$13-$B50</f>
        <v>-5153.95147886737</v>
      </c>
      <c r="F50" s="41" t="n">
        <f aca="false">F49+E50</f>
        <v>-271074.92190152</v>
      </c>
      <c r="G50" s="43" t="n">
        <f aca="false">IF(AND($A50&gt;=Assumptions!$B$24,E50&gt;=0),1,0)</f>
        <v>0</v>
      </c>
      <c r="H50" s="40" t="n">
        <f aca="false">IF($A50=Assumptions!$B$22,Assumptions!$B$21,IF($A50&lt;Assumptions!$B$24,0,IF($A50&lt;=Assumptions!$B$26,Assumptions!$B$25,IF($A50&lt;=Assumptions!$B$28,Assumptions!$B$27,Assumptions!$B$29))*Assumptions!$D$14))</f>
        <v>8</v>
      </c>
      <c r="I50" s="40" t="n">
        <f aca="false">I49*(1-Assumptions!$D$12)+H50</f>
        <v>168.228614164362</v>
      </c>
      <c r="J50" s="41" t="n">
        <f aca="false">I50*Assumptions!$D$10*Assumptions!$D$11+IF($A50=Assumptions!$B$22,Assumptions!$B$21*Assumptions!$B$23,0)-Assumptions!$D$18-H50*Assumptions!$D$13-$B50</f>
        <v>-1191.42696883643</v>
      </c>
      <c r="K50" s="41" t="n">
        <f aca="false">K49+J50</f>
        <v>-195677.194674289</v>
      </c>
      <c r="L50" s="43" t="n">
        <f aca="false">IF(AND($A50&gt;=Assumptions!$B$24,J50&gt;=0),1,0)</f>
        <v>0</v>
      </c>
      <c r="M50" s="40" t="n">
        <f aca="false">IF($A50=Assumptions!$B$22,Assumptions!$B$21,IF($A50&lt;Assumptions!$B$24,0,IF($A50&lt;=Assumptions!$B$26,Assumptions!$B$25,IF($A50&lt;=Assumptions!$B$28,Assumptions!$B$27,Assumptions!$B$29))*Assumptions!$E$14))</f>
        <v>12</v>
      </c>
      <c r="N50" s="40" t="n">
        <f aca="false">N49*(1-Assumptions!$E$12)+M50</f>
        <v>291.086109777819</v>
      </c>
      <c r="O50" s="41" t="n">
        <f aca="false">N50*Assumptions!$E$10*Assumptions!$E$11+IF($A50=Assumptions!$B$22,Assumptions!$B$21*Assumptions!$B$23,0)-Assumptions!$E$18-M50*Assumptions!$E$13-$B50</f>
        <v>6782.0207633355</v>
      </c>
      <c r="P50" s="41" t="n">
        <f aca="false">P49+O50</f>
        <v>-55769.0174034397</v>
      </c>
      <c r="Q50" s="43" t="n">
        <f aca="false">IF(AND($A50&gt;=Assumptions!$B$24,O50&gt;=0),1,0)</f>
        <v>1</v>
      </c>
      <c r="R50" s="40" t="n">
        <f aca="false">IF($A50=Assumptions!$B$22,Assumptions!$B$21,IF($A50&lt;Assumptions!$B$24,0,IF($A50&lt;=Assumptions!$B$26,Assumptions!$B$25,IF($A50&lt;=Assumptions!$B$28,Assumptions!$B$27,Assumptions!$B$29))*Assumptions!$F$14))</f>
        <v>8</v>
      </c>
      <c r="S50" s="40" t="n">
        <f aca="false">S49*(1-Assumptions!$F$12)+R50</f>
        <v>168.228614164362</v>
      </c>
      <c r="T50" s="41" t="n">
        <f aca="false">S50*Assumptions!$F$10*Assumptions!$F$11+IF($A50=Assumptions!$B$22,Assumptions!$B$21*Assumptions!$B$23,0)-Assumptions!$F$18-R50*Assumptions!$F$13-$B50</f>
        <v>2808.57303116357</v>
      </c>
      <c r="U50" s="41" t="n">
        <f aca="false">U49+T50</f>
        <v>-15677.194674289</v>
      </c>
      <c r="V50" s="43" t="n">
        <f aca="false">IF(AND($A50&gt;=Assumptions!$B$24,T50&gt;=0),1,0)</f>
        <v>1</v>
      </c>
      <c r="W50" s="40" t="n">
        <f aca="false">IF($A50=Assumptions!$B$22,Assumptions!$B$21,IF($A50&lt;Assumptions!$B$24,0,IF($A50&lt;=Assumptions!$B$26,Assumptions!$B$25,IF($A50&lt;=Assumptions!$B$28,Assumptions!$B$27,Assumptions!$B$29))*Assumptions!$G$14))</f>
        <v>8</v>
      </c>
      <c r="X50" s="40" t="n">
        <f aca="false">X49*(1-Assumptions!$G$12)+W50</f>
        <v>168.228614164362</v>
      </c>
      <c r="Y50" s="41" t="n">
        <f aca="false">X50*Assumptions!$G$10*Assumptions!$G$11+IF($A50=Assumptions!$B$22,Assumptions!$B$21*Assumptions!$B$23,0)-Assumptions!$G$18-W50*Assumptions!$G$13-$B50</f>
        <v>-1191.42696883643</v>
      </c>
      <c r="Z50" s="41" t="n">
        <f aca="false">Z49+Y50</f>
        <v>-195677.194674289</v>
      </c>
      <c r="AA50" s="43" t="n">
        <f aca="false">IF(AND($A50&gt;=Assumptions!$B$24,Y50&gt;=0),1,0)</f>
        <v>0</v>
      </c>
    </row>
    <row r="51" customFormat="false" ht="15" hidden="false" customHeight="false" outlineLevel="0" collapsed="false">
      <c r="A51" s="43" t="n">
        <v>46</v>
      </c>
      <c r="B51" s="41" t="n">
        <f aca="false">SUMIF(Assumptions!$B$33:$B$38,A51,Assumptions!$C$33:$C$38)</f>
        <v>0</v>
      </c>
      <c r="C51" s="40" t="n">
        <f aca="false">IF($A51=Assumptions!$B$22,Assumptions!$B$21,IF($A51&lt;Assumptions!$B$24,0,IF($A51&lt;=Assumptions!$B$26,Assumptions!$B$25,IF($A51&lt;=Assumptions!$B$28,Assumptions!$B$27,Assumptions!$B$29))*Assumptions!$C$14))</f>
        <v>4</v>
      </c>
      <c r="D51" s="40" t="n">
        <f aca="false">D50*(1-Assumptions!$C$12)+C51</f>
        <v>65.6248698358668</v>
      </c>
      <c r="E51" s="41" t="n">
        <f aca="false">D51*Assumptions!$C$10*Assumptions!$C$11+IF($A51=Assumptions!$B$22,Assumptions!$B$21*Assumptions!$B$23,0)-Assumptions!$C$18-C51*Assumptions!$C$13-$B51</f>
        <v>-5131.253904924</v>
      </c>
      <c r="F51" s="41" t="n">
        <f aca="false">F50+E51</f>
        <v>-276206.175806444</v>
      </c>
      <c r="G51" s="43" t="n">
        <f aca="false">IF(AND($A51&gt;=Assumptions!$B$24,E51&gt;=0),1,0)</f>
        <v>0</v>
      </c>
      <c r="H51" s="40" t="n">
        <f aca="false">IF($A51=Assumptions!$B$22,Assumptions!$B$21,IF($A51&lt;Assumptions!$B$24,0,IF($A51&lt;=Assumptions!$B$26,Assumptions!$B$25,IF($A51&lt;=Assumptions!$B$28,Assumptions!$B$27,Assumptions!$B$29))*Assumptions!$D$14))</f>
        <v>8</v>
      </c>
      <c r="I51" s="40" t="n">
        <f aca="false">I50*(1-Assumptions!$D$12)+H51</f>
        <v>171.181755739431</v>
      </c>
      <c r="J51" s="41" t="n">
        <f aca="false">I51*Assumptions!$D$10*Assumptions!$D$11+IF($A51=Assumptions!$B$22,Assumptions!$B$21*Assumptions!$B$23,0)-Assumptions!$D$18-H51*Assumptions!$D$13-$B51</f>
        <v>-1080.68415977133</v>
      </c>
      <c r="K51" s="41" t="n">
        <f aca="false">K50+J51</f>
        <v>-196757.87883406</v>
      </c>
      <c r="L51" s="43" t="n">
        <f aca="false">IF(AND($A51&gt;=Assumptions!$B$24,J51&gt;=0),1,0)</f>
        <v>0</v>
      </c>
      <c r="M51" s="40" t="n">
        <f aca="false">IF($A51=Assumptions!$B$22,Assumptions!$B$21,IF($A51&lt;Assumptions!$B$24,0,IF($A51&lt;=Assumptions!$B$26,Assumptions!$B$25,IF($A51&lt;=Assumptions!$B$28,Assumptions!$B$27,Assumptions!$B$29))*Assumptions!$E$14))</f>
        <v>12</v>
      </c>
      <c r="N51" s="40" t="n">
        <f aca="false">N50*(1-Assumptions!$E$12)+M51</f>
        <v>297.264387582263</v>
      </c>
      <c r="O51" s="41" t="n">
        <f aca="false">N51*Assumptions!$E$10*Assumptions!$E$11+IF($A51=Assumptions!$B$22,Assumptions!$B$21*Assumptions!$B$23,0)-Assumptions!$E$18-M51*Assumptions!$E$13-$B51</f>
        <v>7106.38034806879</v>
      </c>
      <c r="P51" s="41" t="n">
        <f aca="false">P50+O51</f>
        <v>-48662.6370553709</v>
      </c>
      <c r="Q51" s="43" t="n">
        <f aca="false">IF(AND($A51&gt;=Assumptions!$B$24,O51&gt;=0),1,0)</f>
        <v>1</v>
      </c>
      <c r="R51" s="40" t="n">
        <f aca="false">IF($A51=Assumptions!$B$22,Assumptions!$B$21,IF($A51&lt;Assumptions!$B$24,0,IF($A51&lt;=Assumptions!$B$26,Assumptions!$B$25,IF($A51&lt;=Assumptions!$B$28,Assumptions!$B$27,Assumptions!$B$29))*Assumptions!$F$14))</f>
        <v>8</v>
      </c>
      <c r="S51" s="40" t="n">
        <f aca="false">S50*(1-Assumptions!$F$12)+R51</f>
        <v>171.181755739431</v>
      </c>
      <c r="T51" s="41" t="n">
        <f aca="false">S51*Assumptions!$F$10*Assumptions!$F$11+IF($A51=Assumptions!$B$22,Assumptions!$B$21*Assumptions!$B$23,0)-Assumptions!$F$18-R51*Assumptions!$F$13-$B51</f>
        <v>2919.31584022867</v>
      </c>
      <c r="U51" s="41" t="n">
        <f aca="false">U50+T51</f>
        <v>-12757.8788340603</v>
      </c>
      <c r="V51" s="43" t="n">
        <f aca="false">IF(AND($A51&gt;=Assumptions!$B$24,T51&gt;=0),1,0)</f>
        <v>1</v>
      </c>
      <c r="W51" s="40" t="n">
        <f aca="false">IF($A51=Assumptions!$B$22,Assumptions!$B$21,IF($A51&lt;Assumptions!$B$24,0,IF($A51&lt;=Assumptions!$B$26,Assumptions!$B$25,IF($A51&lt;=Assumptions!$B$28,Assumptions!$B$27,Assumptions!$B$29))*Assumptions!$G$14))</f>
        <v>8</v>
      </c>
      <c r="X51" s="40" t="n">
        <f aca="false">X50*(1-Assumptions!$G$12)+W51</f>
        <v>171.181755739431</v>
      </c>
      <c r="Y51" s="41" t="n">
        <f aca="false">X51*Assumptions!$G$10*Assumptions!$G$11+IF($A51=Assumptions!$B$22,Assumptions!$B$21*Assumptions!$B$23,0)-Assumptions!$G$18-W51*Assumptions!$G$13-$B51</f>
        <v>-1080.68415977133</v>
      </c>
      <c r="Z51" s="41" t="n">
        <f aca="false">Z50+Y51</f>
        <v>-196757.87883406</v>
      </c>
      <c r="AA51" s="43" t="n">
        <f aca="false">IF(AND($A51&gt;=Assumptions!$B$24,Y51&gt;=0),1,0)</f>
        <v>0</v>
      </c>
    </row>
    <row r="52" customFormat="false" ht="15" hidden="false" customHeight="false" outlineLevel="0" collapsed="false">
      <c r="A52" s="43" t="n">
        <v>47</v>
      </c>
      <c r="B52" s="41" t="n">
        <f aca="false">SUMIF(Assumptions!$B$33:$B$38,A52,Assumptions!$C$33:$C$38)</f>
        <v>0</v>
      </c>
      <c r="C52" s="40" t="n">
        <f aca="false">IF($A52=Assumptions!$B$22,Assumptions!$B$21,IF($A52&lt;Assumptions!$B$24,0,IF($A52&lt;=Assumptions!$B$26,Assumptions!$B$25,IF($A52&lt;=Assumptions!$B$28,Assumptions!$B$27,Assumptions!$B$29))*Assumptions!$C$14))</f>
        <v>4</v>
      </c>
      <c r="D52" s="40" t="n">
        <f aca="false">D51*(1-Assumptions!$C$12)+C52</f>
        <v>66.3436263440734</v>
      </c>
      <c r="E52" s="41" t="n">
        <f aca="false">D52*Assumptions!$C$10*Assumptions!$C$11+IF($A52=Assumptions!$B$22,Assumptions!$B$21*Assumptions!$B$23,0)-Assumptions!$C$18-C52*Assumptions!$C$13-$B52</f>
        <v>-5109.6912096778</v>
      </c>
      <c r="F52" s="41" t="n">
        <f aca="false">F51+E52</f>
        <v>-281315.867016122</v>
      </c>
      <c r="G52" s="43" t="n">
        <f aca="false">IF(AND($A52&gt;=Assumptions!$B$24,E52&gt;=0),1,0)</f>
        <v>0</v>
      </c>
      <c r="H52" s="40" t="n">
        <f aca="false">IF($A52=Assumptions!$B$22,Assumptions!$B$21,IF($A52&lt;Assumptions!$B$24,0,IF($A52&lt;=Assumptions!$B$26,Assumptions!$B$25,IF($A52&lt;=Assumptions!$B$28,Assumptions!$B$27,Assumptions!$B$29))*Assumptions!$D$14))</f>
        <v>8</v>
      </c>
      <c r="I52" s="40" t="n">
        <f aca="false">I51*(1-Assumptions!$D$12)+H52</f>
        <v>174.046303067248</v>
      </c>
      <c r="J52" s="41" t="n">
        <f aca="false">I52*Assumptions!$D$10*Assumptions!$D$11+IF($A52=Assumptions!$B$22,Assumptions!$B$21*Assumptions!$B$23,0)-Assumptions!$D$18-H52*Assumptions!$D$13-$B52</f>
        <v>-973.263634978193</v>
      </c>
      <c r="K52" s="41" t="n">
        <f aca="false">K51+J52</f>
        <v>-197731.142469038</v>
      </c>
      <c r="L52" s="43" t="n">
        <f aca="false">IF(AND($A52&gt;=Assumptions!$B$24,J52&gt;=0),1,0)</f>
        <v>0</v>
      </c>
      <c r="M52" s="40" t="n">
        <f aca="false">IF($A52=Assumptions!$B$22,Assumptions!$B$21,IF($A52&lt;Assumptions!$B$24,0,IF($A52&lt;=Assumptions!$B$26,Assumptions!$B$25,IF($A52&lt;=Assumptions!$B$28,Assumptions!$B$27,Assumptions!$B$29))*Assumptions!$E$14))</f>
        <v>12</v>
      </c>
      <c r="N52" s="40" t="n">
        <f aca="false">N51*(1-Assumptions!$E$12)+M52</f>
        <v>303.319099830617</v>
      </c>
      <c r="O52" s="41" t="n">
        <f aca="false">N52*Assumptions!$E$10*Assumptions!$E$11+IF($A52=Assumptions!$B$22,Assumptions!$B$21*Assumptions!$B$23,0)-Assumptions!$E$18-M52*Assumptions!$E$13-$B52</f>
        <v>7424.25274110742</v>
      </c>
      <c r="P52" s="41" t="n">
        <f aca="false">P51+O52</f>
        <v>-41238.3843142635</v>
      </c>
      <c r="Q52" s="43" t="n">
        <f aca="false">IF(AND($A52&gt;=Assumptions!$B$24,O52&gt;=0),1,0)</f>
        <v>1</v>
      </c>
      <c r="R52" s="40" t="n">
        <f aca="false">IF($A52=Assumptions!$B$22,Assumptions!$B$21,IF($A52&lt;Assumptions!$B$24,0,IF($A52&lt;=Assumptions!$B$26,Assumptions!$B$25,IF($A52&lt;=Assumptions!$B$28,Assumptions!$B$27,Assumptions!$B$29))*Assumptions!$F$14))</f>
        <v>8</v>
      </c>
      <c r="S52" s="40" t="n">
        <f aca="false">S51*(1-Assumptions!$F$12)+R52</f>
        <v>174.046303067248</v>
      </c>
      <c r="T52" s="41" t="n">
        <f aca="false">S52*Assumptions!$F$10*Assumptions!$F$11+IF($A52=Assumptions!$B$22,Assumptions!$B$21*Assumptions!$B$23,0)-Assumptions!$F$18-R52*Assumptions!$F$13-$B52</f>
        <v>3026.73636502181</v>
      </c>
      <c r="U52" s="41" t="n">
        <f aca="false">U51+T52</f>
        <v>-9731.14246903852</v>
      </c>
      <c r="V52" s="43" t="n">
        <f aca="false">IF(AND($A52&gt;=Assumptions!$B$24,T52&gt;=0),1,0)</f>
        <v>1</v>
      </c>
      <c r="W52" s="40" t="n">
        <f aca="false">IF($A52=Assumptions!$B$22,Assumptions!$B$21,IF($A52&lt;Assumptions!$B$24,0,IF($A52&lt;=Assumptions!$B$26,Assumptions!$B$25,IF($A52&lt;=Assumptions!$B$28,Assumptions!$B$27,Assumptions!$B$29))*Assumptions!$G$14))</f>
        <v>8</v>
      </c>
      <c r="X52" s="40" t="n">
        <f aca="false">X51*(1-Assumptions!$G$12)+W52</f>
        <v>174.046303067248</v>
      </c>
      <c r="Y52" s="41" t="n">
        <f aca="false">X52*Assumptions!$G$10*Assumptions!$G$11+IF($A52=Assumptions!$B$22,Assumptions!$B$21*Assumptions!$B$23,0)-Assumptions!$G$18-W52*Assumptions!$G$13-$B52</f>
        <v>-973.263634978193</v>
      </c>
      <c r="Z52" s="41" t="n">
        <f aca="false">Z51+Y52</f>
        <v>-197731.142469038</v>
      </c>
      <c r="AA52" s="43" t="n">
        <f aca="false">IF(AND($A52&gt;=Assumptions!$B$24,Y52&gt;=0),1,0)</f>
        <v>0</v>
      </c>
    </row>
    <row r="53" customFormat="false" ht="15" hidden="false" customHeight="false" outlineLevel="0" collapsed="false">
      <c r="A53" s="43" t="n">
        <v>48</v>
      </c>
      <c r="B53" s="41" t="n">
        <f aca="false">SUMIF(Assumptions!$B$33:$B$38,A53,Assumptions!$C$33:$C$38)</f>
        <v>0</v>
      </c>
      <c r="C53" s="40" t="n">
        <f aca="false">IF($A53=Assumptions!$B$22,Assumptions!$B$21,IF($A53&lt;Assumptions!$B$24,0,IF($A53&lt;=Assumptions!$B$26,Assumptions!$B$25,IF($A53&lt;=Assumptions!$B$28,Assumptions!$B$27,Assumptions!$B$29))*Assumptions!$C$14))</f>
        <v>4</v>
      </c>
      <c r="D53" s="40" t="n">
        <f aca="false">D52*(1-Assumptions!$C$12)+C53</f>
        <v>67.0264450268698</v>
      </c>
      <c r="E53" s="41" t="n">
        <f aca="false">D53*Assumptions!$C$10*Assumptions!$C$11+IF($A53=Assumptions!$B$22,Assumptions!$B$21*Assumptions!$B$23,0)-Assumptions!$C$18-C53*Assumptions!$C$13-$B53</f>
        <v>-5089.20664919391</v>
      </c>
      <c r="F53" s="41" t="n">
        <f aca="false">F52+E53</f>
        <v>-286405.073665316</v>
      </c>
      <c r="G53" s="43" t="n">
        <f aca="false">IF(AND($A53&gt;=Assumptions!$B$24,E53&gt;=0),1,0)</f>
        <v>0</v>
      </c>
      <c r="H53" s="40" t="n">
        <f aca="false">IF($A53=Assumptions!$B$22,Assumptions!$B$21,IF($A53&lt;Assumptions!$B$24,0,IF($A53&lt;=Assumptions!$B$26,Assumptions!$B$25,IF($A53&lt;=Assumptions!$B$28,Assumptions!$B$27,Assumptions!$B$29))*Assumptions!$D$14))</f>
        <v>8</v>
      </c>
      <c r="I53" s="40" t="n">
        <f aca="false">I52*(1-Assumptions!$D$12)+H53</f>
        <v>176.824913975231</v>
      </c>
      <c r="J53" s="41" t="n">
        <f aca="false">I53*Assumptions!$D$10*Assumptions!$D$11+IF($A53=Assumptions!$B$22,Assumptions!$B$21*Assumptions!$B$23,0)-Assumptions!$D$18-H53*Assumptions!$D$13-$B53</f>
        <v>-869.065725928849</v>
      </c>
      <c r="K53" s="41" t="n">
        <f aca="false">K52+J53</f>
        <v>-198600.208194967</v>
      </c>
      <c r="L53" s="43" t="n">
        <f aca="false">IF(AND($A53&gt;=Assumptions!$B$24,J53&gt;=0),1,0)</f>
        <v>0</v>
      </c>
      <c r="M53" s="40" t="n">
        <f aca="false">IF($A53=Assumptions!$B$22,Assumptions!$B$21,IF($A53&lt;Assumptions!$B$24,0,IF($A53&lt;=Assumptions!$B$26,Assumptions!$B$25,IF($A53&lt;=Assumptions!$B$28,Assumptions!$B$27,Assumptions!$B$29))*Assumptions!$E$14))</f>
        <v>12</v>
      </c>
      <c r="N53" s="40" t="n">
        <f aca="false">N52*(1-Assumptions!$E$12)+M53</f>
        <v>309.252717834005</v>
      </c>
      <c r="O53" s="41" t="n">
        <f aca="false">N53*Assumptions!$E$10*Assumptions!$E$11+IF($A53=Assumptions!$B$22,Assumptions!$B$21*Assumptions!$B$23,0)-Assumptions!$E$18-M53*Assumptions!$E$13-$B53</f>
        <v>7735.76768628527</v>
      </c>
      <c r="P53" s="41" t="n">
        <f aca="false">P52+O53</f>
        <v>-33502.6166279783</v>
      </c>
      <c r="Q53" s="43" t="n">
        <f aca="false">IF(AND($A53&gt;=Assumptions!$B$24,O53&gt;=0),1,0)</f>
        <v>1</v>
      </c>
      <c r="R53" s="40" t="n">
        <f aca="false">IF($A53=Assumptions!$B$22,Assumptions!$B$21,IF($A53&lt;Assumptions!$B$24,0,IF($A53&lt;=Assumptions!$B$26,Assumptions!$B$25,IF($A53&lt;=Assumptions!$B$28,Assumptions!$B$27,Assumptions!$B$29))*Assumptions!$F$14))</f>
        <v>8</v>
      </c>
      <c r="S53" s="40" t="n">
        <f aca="false">S52*(1-Assumptions!$F$12)+R53</f>
        <v>176.824913975231</v>
      </c>
      <c r="T53" s="41" t="n">
        <f aca="false">S53*Assumptions!$F$10*Assumptions!$F$11+IF($A53=Assumptions!$B$22,Assumptions!$B$21*Assumptions!$B$23,0)-Assumptions!$F$18-R53*Assumptions!$F$13-$B53</f>
        <v>3130.93427407115</v>
      </c>
      <c r="U53" s="41" t="n">
        <f aca="false">U52+T53</f>
        <v>-6600.20819496737</v>
      </c>
      <c r="V53" s="43" t="n">
        <f aca="false">IF(AND($A53&gt;=Assumptions!$B$24,T53&gt;=0),1,0)</f>
        <v>1</v>
      </c>
      <c r="W53" s="40" t="n">
        <f aca="false">IF($A53=Assumptions!$B$22,Assumptions!$B$21,IF($A53&lt;Assumptions!$B$24,0,IF($A53&lt;=Assumptions!$B$26,Assumptions!$B$25,IF($A53&lt;=Assumptions!$B$28,Assumptions!$B$27,Assumptions!$B$29))*Assumptions!$G$14))</f>
        <v>8</v>
      </c>
      <c r="X53" s="40" t="n">
        <f aca="false">X52*(1-Assumptions!$G$12)+W53</f>
        <v>176.824913975231</v>
      </c>
      <c r="Y53" s="41" t="n">
        <f aca="false">X53*Assumptions!$G$10*Assumptions!$G$11+IF($A53=Assumptions!$B$22,Assumptions!$B$21*Assumptions!$B$23,0)-Assumptions!$G$18-W53*Assumptions!$G$13-$B53</f>
        <v>-869.065725928849</v>
      </c>
      <c r="Z53" s="41" t="n">
        <f aca="false">Z52+Y53</f>
        <v>-198600.208194967</v>
      </c>
      <c r="AA53" s="43" t="n">
        <f aca="false">IF(AND($A53&gt;=Assumptions!$B$24,Y53&gt;=0),1,0)</f>
        <v>0</v>
      </c>
    </row>
    <row r="54" customFormat="false" ht="15" hidden="false" customHeight="false" outlineLevel="0" collapsed="false">
      <c r="A54" s="43" t="n">
        <v>49</v>
      </c>
      <c r="B54" s="41" t="n">
        <f aca="false">SUMIF(Assumptions!$B$33:$B$38,A54,Assumptions!$C$33:$C$38)</f>
        <v>0</v>
      </c>
      <c r="C54" s="40" t="n">
        <f aca="false">IF($A54=Assumptions!$B$22,Assumptions!$B$21,IF($A54&lt;Assumptions!$B$24,0,IF($A54&lt;=Assumptions!$B$26,Assumptions!$B$25,IF($A54&lt;=Assumptions!$B$28,Assumptions!$B$27,Assumptions!$B$29))*Assumptions!$C$14))</f>
        <v>4</v>
      </c>
      <c r="D54" s="40" t="n">
        <f aca="false">D53*(1-Assumptions!$C$12)+C54</f>
        <v>67.6751227755263</v>
      </c>
      <c r="E54" s="41" t="n">
        <f aca="false">D54*Assumptions!$C$10*Assumptions!$C$11+IF($A54=Assumptions!$B$22,Assumptions!$B$21*Assumptions!$B$23,0)-Assumptions!$C$18-C54*Assumptions!$C$13-$B54</f>
        <v>-5069.74631673421</v>
      </c>
      <c r="F54" s="41" t="n">
        <f aca="false">F53+E54</f>
        <v>-291474.81998205</v>
      </c>
      <c r="G54" s="43" t="n">
        <f aca="false">IF(AND($A54&gt;=Assumptions!$B$24,E54&gt;=0),1,0)</f>
        <v>0</v>
      </c>
      <c r="H54" s="40" t="n">
        <f aca="false">IF($A54=Assumptions!$B$22,Assumptions!$B$21,IF($A54&lt;Assumptions!$B$24,0,IF($A54&lt;=Assumptions!$B$26,Assumptions!$B$25,IF($A54&lt;=Assumptions!$B$28,Assumptions!$B$27,Assumptions!$B$29))*Assumptions!$D$14))</f>
        <v>8</v>
      </c>
      <c r="I54" s="40" t="n">
        <f aca="false">I53*(1-Assumptions!$D$12)+H54</f>
        <v>179.520166555974</v>
      </c>
      <c r="J54" s="41" t="n">
        <f aca="false">I54*Assumptions!$D$10*Assumptions!$D$11+IF($A54=Assumptions!$B$22,Assumptions!$B$21*Assumptions!$B$23,0)-Assumptions!$D$18-H54*Assumptions!$D$13-$B54</f>
        <v>-767.993754150984</v>
      </c>
      <c r="K54" s="41" t="n">
        <f aca="false">K53+J54</f>
        <v>-199368.201949118</v>
      </c>
      <c r="L54" s="43" t="n">
        <f aca="false">IF(AND($A54&gt;=Assumptions!$B$24,J54&gt;=0),1,0)</f>
        <v>0</v>
      </c>
      <c r="M54" s="40" t="n">
        <f aca="false">IF($A54=Assumptions!$B$22,Assumptions!$B$21,IF($A54&lt;Assumptions!$B$24,0,IF($A54&lt;=Assumptions!$B$26,Assumptions!$B$25,IF($A54&lt;=Assumptions!$B$28,Assumptions!$B$27,Assumptions!$B$29))*Assumptions!$E$14))</f>
        <v>12</v>
      </c>
      <c r="N54" s="40" t="n">
        <f aca="false">N53*(1-Assumptions!$E$12)+M54</f>
        <v>315.067663477325</v>
      </c>
      <c r="O54" s="41" t="n">
        <f aca="false">N54*Assumptions!$E$10*Assumptions!$E$11+IF($A54=Assumptions!$B$22,Assumptions!$B$21*Assumptions!$B$23,0)-Assumptions!$E$18-M54*Assumptions!$E$13-$B54</f>
        <v>8041.05233255956</v>
      </c>
      <c r="P54" s="41" t="n">
        <f aca="false">P53+O54</f>
        <v>-25461.5642954187</v>
      </c>
      <c r="Q54" s="43" t="n">
        <f aca="false">IF(AND($A54&gt;=Assumptions!$B$24,O54&gt;=0),1,0)</f>
        <v>1</v>
      </c>
      <c r="R54" s="40" t="n">
        <f aca="false">IF($A54=Assumptions!$B$22,Assumptions!$B$21,IF($A54&lt;Assumptions!$B$24,0,IF($A54&lt;=Assumptions!$B$26,Assumptions!$B$25,IF($A54&lt;=Assumptions!$B$28,Assumptions!$B$27,Assumptions!$B$29))*Assumptions!$F$14))</f>
        <v>8</v>
      </c>
      <c r="S54" s="40" t="n">
        <f aca="false">S53*(1-Assumptions!$F$12)+R54</f>
        <v>179.520166555974</v>
      </c>
      <c r="T54" s="41" t="n">
        <f aca="false">S54*Assumptions!$F$10*Assumptions!$F$11+IF($A54=Assumptions!$B$22,Assumptions!$B$21*Assumptions!$B$23,0)-Assumptions!$F$18-R54*Assumptions!$F$13-$B54</f>
        <v>3232.00624584902</v>
      </c>
      <c r="U54" s="41" t="n">
        <f aca="false">U53+T54</f>
        <v>-3368.20194911836</v>
      </c>
      <c r="V54" s="43" t="n">
        <f aca="false">IF(AND($A54&gt;=Assumptions!$B$24,T54&gt;=0),1,0)</f>
        <v>1</v>
      </c>
      <c r="W54" s="40" t="n">
        <f aca="false">IF($A54=Assumptions!$B$22,Assumptions!$B$21,IF($A54&lt;Assumptions!$B$24,0,IF($A54&lt;=Assumptions!$B$26,Assumptions!$B$25,IF($A54&lt;=Assumptions!$B$28,Assumptions!$B$27,Assumptions!$B$29))*Assumptions!$G$14))</f>
        <v>8</v>
      </c>
      <c r="X54" s="40" t="n">
        <f aca="false">X53*(1-Assumptions!$G$12)+W54</f>
        <v>179.520166555974</v>
      </c>
      <c r="Y54" s="41" t="n">
        <f aca="false">X54*Assumptions!$G$10*Assumptions!$G$11+IF($A54=Assumptions!$B$22,Assumptions!$B$21*Assumptions!$B$23,0)-Assumptions!$G$18-W54*Assumptions!$G$13-$B54</f>
        <v>-767.993754150984</v>
      </c>
      <c r="Z54" s="41" t="n">
        <f aca="false">Z53+Y54</f>
        <v>-199368.201949118</v>
      </c>
      <c r="AA54" s="43" t="n">
        <f aca="false">IF(AND($A54&gt;=Assumptions!$B$24,Y54&gt;=0),1,0)</f>
        <v>0</v>
      </c>
    </row>
    <row r="55" customFormat="false" ht="15" hidden="false" customHeight="false" outlineLevel="0" collapsed="false">
      <c r="A55" s="43" t="n">
        <v>50</v>
      </c>
      <c r="B55" s="41" t="n">
        <f aca="false">SUMIF(Assumptions!$B$33:$B$38,A55,Assumptions!$C$33:$C$38)</f>
        <v>0</v>
      </c>
      <c r="C55" s="40" t="n">
        <f aca="false">IF($A55=Assumptions!$B$22,Assumptions!$B$21,IF($A55&lt;Assumptions!$B$24,0,IF($A55&lt;=Assumptions!$B$26,Assumptions!$B$25,IF($A55&lt;=Assumptions!$B$28,Assumptions!$B$27,Assumptions!$B$29))*Assumptions!$C$14))</f>
        <v>4</v>
      </c>
      <c r="D55" s="40" t="n">
        <f aca="false">D54*(1-Assumptions!$C$12)+C55</f>
        <v>68.29136663675</v>
      </c>
      <c r="E55" s="41" t="n">
        <f aca="false">D55*Assumptions!$C$10*Assumptions!$C$11+IF($A55=Assumptions!$B$22,Assumptions!$B$21*Assumptions!$B$23,0)-Assumptions!$C$18-C55*Assumptions!$C$13-$B55</f>
        <v>-5051.2590008975</v>
      </c>
      <c r="F55" s="41" t="n">
        <f aca="false">F54+E55</f>
        <v>-296526.078982948</v>
      </c>
      <c r="G55" s="43" t="n">
        <f aca="false">IF(AND($A55&gt;=Assumptions!$B$24,E55&gt;=0),1,0)</f>
        <v>0</v>
      </c>
      <c r="H55" s="40" t="n">
        <f aca="false">IF($A55=Assumptions!$B$22,Assumptions!$B$21,IF($A55&lt;Assumptions!$B$24,0,IF($A55&lt;=Assumptions!$B$26,Assumptions!$B$25,IF($A55&lt;=Assumptions!$B$28,Assumptions!$B$27,Assumptions!$B$29))*Assumptions!$D$14))</f>
        <v>8</v>
      </c>
      <c r="I55" s="40" t="n">
        <f aca="false">I54*(1-Assumptions!$D$12)+H55</f>
        <v>182.134561559295</v>
      </c>
      <c r="J55" s="41" t="n">
        <f aca="false">I55*Assumptions!$D$10*Assumptions!$D$11+IF($A55=Assumptions!$B$22,Assumptions!$B$21*Assumptions!$B$23,0)-Assumptions!$D$18-H55*Assumptions!$D$13-$B55</f>
        <v>-669.953941526453</v>
      </c>
      <c r="K55" s="41" t="n">
        <f aca="false">K54+J55</f>
        <v>-200038.155890645</v>
      </c>
      <c r="L55" s="43" t="n">
        <f aca="false">IF(AND($A55&gt;=Assumptions!$B$24,J55&gt;=0),1,0)</f>
        <v>0</v>
      </c>
      <c r="M55" s="40" t="n">
        <f aca="false">IF($A55=Assumptions!$B$22,Assumptions!$B$21,IF($A55&lt;Assumptions!$B$24,0,IF($A55&lt;=Assumptions!$B$26,Assumptions!$B$25,IF($A55&lt;=Assumptions!$B$28,Assumptions!$B$27,Assumptions!$B$29))*Assumptions!$E$14))</f>
        <v>12</v>
      </c>
      <c r="N55" s="40" t="n">
        <f aca="false">N54*(1-Assumptions!$E$12)+M55</f>
        <v>320.766310207779</v>
      </c>
      <c r="O55" s="41" t="n">
        <f aca="false">N55*Assumptions!$E$10*Assumptions!$E$11+IF($A55=Assumptions!$B$22,Assumptions!$B$21*Assumptions!$B$23,0)-Assumptions!$E$18-M55*Assumptions!$E$13-$B55</f>
        <v>8340.23128590837</v>
      </c>
      <c r="P55" s="41" t="n">
        <f aca="false">P54+O55</f>
        <v>-17121.3330095103</v>
      </c>
      <c r="Q55" s="43" t="n">
        <f aca="false">IF(AND($A55&gt;=Assumptions!$B$24,O55&gt;=0),1,0)</f>
        <v>1</v>
      </c>
      <c r="R55" s="40" t="n">
        <f aca="false">IF($A55=Assumptions!$B$22,Assumptions!$B$21,IF($A55&lt;Assumptions!$B$24,0,IF($A55&lt;=Assumptions!$B$26,Assumptions!$B$25,IF($A55&lt;=Assumptions!$B$28,Assumptions!$B$27,Assumptions!$B$29))*Assumptions!$F$14))</f>
        <v>8</v>
      </c>
      <c r="S55" s="40" t="n">
        <f aca="false">S54*(1-Assumptions!$F$12)+R55</f>
        <v>182.134561559295</v>
      </c>
      <c r="T55" s="41" t="n">
        <f aca="false">S55*Assumptions!$F$10*Assumptions!$F$11+IF($A55=Assumptions!$B$22,Assumptions!$B$21*Assumptions!$B$23,0)-Assumptions!$F$18-R55*Assumptions!$F$13-$B55</f>
        <v>3330.04605847355</v>
      </c>
      <c r="U55" s="41" t="n">
        <f aca="false">U54+T55</f>
        <v>-38.1558906448081</v>
      </c>
      <c r="V55" s="43" t="n">
        <f aca="false">IF(AND($A55&gt;=Assumptions!$B$24,T55&gt;=0),1,0)</f>
        <v>1</v>
      </c>
      <c r="W55" s="40" t="n">
        <f aca="false">IF($A55=Assumptions!$B$22,Assumptions!$B$21,IF($A55&lt;Assumptions!$B$24,0,IF($A55&lt;=Assumptions!$B$26,Assumptions!$B$25,IF($A55&lt;=Assumptions!$B$28,Assumptions!$B$27,Assumptions!$B$29))*Assumptions!$G$14))</f>
        <v>8</v>
      </c>
      <c r="X55" s="40" t="n">
        <f aca="false">X54*(1-Assumptions!$G$12)+W55</f>
        <v>182.134561559295</v>
      </c>
      <c r="Y55" s="41" t="n">
        <f aca="false">X55*Assumptions!$G$10*Assumptions!$G$11+IF($A55=Assumptions!$B$22,Assumptions!$B$21*Assumptions!$B$23,0)-Assumptions!$G$18-W55*Assumptions!$G$13-$B55</f>
        <v>-669.953941526453</v>
      </c>
      <c r="Z55" s="41" t="n">
        <f aca="false">Z54+Y55</f>
        <v>-200038.155890645</v>
      </c>
      <c r="AA55" s="43" t="n">
        <f aca="false">IF(AND($A55&gt;=Assumptions!$B$24,Y55&gt;=0),1,0)</f>
        <v>0</v>
      </c>
    </row>
    <row r="56" customFormat="false" ht="15" hidden="false" customHeight="false" outlineLevel="0" collapsed="false">
      <c r="A56" s="43" t="n">
        <v>51</v>
      </c>
      <c r="B56" s="41" t="n">
        <f aca="false">SUMIF(Assumptions!$B$33:$B$38,A56,Assumptions!$C$33:$C$38)</f>
        <v>0</v>
      </c>
      <c r="C56" s="40" t="n">
        <f aca="false">IF($A56=Assumptions!$B$22,Assumptions!$B$21,IF($A56&lt;Assumptions!$B$24,0,IF($A56&lt;=Assumptions!$B$26,Assumptions!$B$25,IF($A56&lt;=Assumptions!$B$28,Assumptions!$B$27,Assumptions!$B$29))*Assumptions!$C$14))</f>
        <v>4</v>
      </c>
      <c r="D56" s="40" t="n">
        <f aca="false">D55*(1-Assumptions!$C$12)+C56</f>
        <v>68.8767983049125</v>
      </c>
      <c r="E56" s="41" t="n">
        <f aca="false">D56*Assumptions!$C$10*Assumptions!$C$11+IF($A56=Assumptions!$B$22,Assumptions!$B$21*Assumptions!$B$23,0)-Assumptions!$C$18-C56*Assumptions!$C$13-$B56</f>
        <v>-5033.69605085263</v>
      </c>
      <c r="F56" s="41" t="n">
        <f aca="false">F55+E56</f>
        <v>-301559.7750338</v>
      </c>
      <c r="G56" s="43" t="n">
        <f aca="false">IF(AND($A56&gt;=Assumptions!$B$24,E56&gt;=0),1,0)</f>
        <v>0</v>
      </c>
      <c r="H56" s="40" t="n">
        <f aca="false">IF($A56=Assumptions!$B$22,Assumptions!$B$21,IF($A56&lt;Assumptions!$B$24,0,IF($A56&lt;=Assumptions!$B$26,Assumptions!$B$25,IF($A56&lt;=Assumptions!$B$28,Assumptions!$B$27,Assumptions!$B$29))*Assumptions!$D$14))</f>
        <v>8</v>
      </c>
      <c r="I56" s="40" t="n">
        <f aca="false">I55*(1-Assumptions!$D$12)+H56</f>
        <v>184.670524712516</v>
      </c>
      <c r="J56" s="41" t="n">
        <f aca="false">I56*Assumptions!$D$10*Assumptions!$D$11+IF($A56=Assumptions!$B$22,Assumptions!$B$21*Assumptions!$B$23,0)-Assumptions!$D$18-H56*Assumptions!$D$13-$B56</f>
        <v>-574.855323280661</v>
      </c>
      <c r="K56" s="41" t="n">
        <f aca="false">K55+J56</f>
        <v>-200613.011213925</v>
      </c>
      <c r="L56" s="43" t="n">
        <f aca="false">IF(AND($A56&gt;=Assumptions!$B$24,J56&gt;=0),1,0)</f>
        <v>0</v>
      </c>
      <c r="M56" s="40" t="n">
        <f aca="false">IF($A56=Assumptions!$B$22,Assumptions!$B$21,IF($A56&lt;Assumptions!$B$24,0,IF($A56&lt;=Assumptions!$B$26,Assumptions!$B$25,IF($A56&lt;=Assumptions!$B$28,Assumptions!$B$27,Assumptions!$B$29))*Assumptions!$E$14))</f>
        <v>12</v>
      </c>
      <c r="N56" s="40" t="n">
        <f aca="false">N55*(1-Assumptions!$E$12)+M56</f>
        <v>326.350984003623</v>
      </c>
      <c r="O56" s="41" t="n">
        <f aca="false">N56*Assumptions!$E$10*Assumptions!$E$11+IF($A56=Assumptions!$B$22,Assumptions!$B$21*Assumptions!$B$23,0)-Assumptions!$E$18-M56*Assumptions!$E$13-$B56</f>
        <v>8633.42666019021</v>
      </c>
      <c r="P56" s="41" t="n">
        <f aca="false">P55+O56</f>
        <v>-8487.90634932011</v>
      </c>
      <c r="Q56" s="43" t="n">
        <f aca="false">IF(AND($A56&gt;=Assumptions!$B$24,O56&gt;=0),1,0)</f>
        <v>1</v>
      </c>
      <c r="R56" s="40" t="n">
        <f aca="false">IF($A56=Assumptions!$B$22,Assumptions!$B$21,IF($A56&lt;Assumptions!$B$24,0,IF($A56&lt;=Assumptions!$B$26,Assumptions!$B$25,IF($A56&lt;=Assumptions!$B$28,Assumptions!$B$27,Assumptions!$B$29))*Assumptions!$F$14))</f>
        <v>8</v>
      </c>
      <c r="S56" s="40" t="n">
        <f aca="false">S55*(1-Assumptions!$F$12)+R56</f>
        <v>184.670524712516</v>
      </c>
      <c r="T56" s="41" t="n">
        <f aca="false">S56*Assumptions!$F$10*Assumptions!$F$11+IF($A56=Assumptions!$B$22,Assumptions!$B$21*Assumptions!$B$23,0)-Assumptions!$F$18-R56*Assumptions!$F$13-$B56</f>
        <v>3425.14467671934</v>
      </c>
      <c r="U56" s="41" t="n">
        <f aca="false">U55+T56</f>
        <v>3386.98878607453</v>
      </c>
      <c r="V56" s="43" t="n">
        <f aca="false">IF(AND($A56&gt;=Assumptions!$B$24,T56&gt;=0),1,0)</f>
        <v>1</v>
      </c>
      <c r="W56" s="40" t="n">
        <f aca="false">IF($A56=Assumptions!$B$22,Assumptions!$B$21,IF($A56&lt;Assumptions!$B$24,0,IF($A56&lt;=Assumptions!$B$26,Assumptions!$B$25,IF($A56&lt;=Assumptions!$B$28,Assumptions!$B$27,Assumptions!$B$29))*Assumptions!$G$14))</f>
        <v>8</v>
      </c>
      <c r="X56" s="40" t="n">
        <f aca="false">X55*(1-Assumptions!$G$12)+W56</f>
        <v>184.670524712516</v>
      </c>
      <c r="Y56" s="41" t="n">
        <f aca="false">X56*Assumptions!$G$10*Assumptions!$G$11+IF($A56=Assumptions!$B$22,Assumptions!$B$21*Assumptions!$B$23,0)-Assumptions!$G$18-W56*Assumptions!$G$13-$B56</f>
        <v>-574.855323280661</v>
      </c>
      <c r="Z56" s="41" t="n">
        <f aca="false">Z55+Y56</f>
        <v>-200613.011213925</v>
      </c>
      <c r="AA56" s="43" t="n">
        <f aca="false">IF(AND($A56&gt;=Assumptions!$B$24,Y56&gt;=0),1,0)</f>
        <v>0</v>
      </c>
    </row>
    <row r="57" customFormat="false" ht="15" hidden="false" customHeight="false" outlineLevel="0" collapsed="false">
      <c r="A57" s="43" t="n">
        <v>52</v>
      </c>
      <c r="B57" s="41" t="n">
        <f aca="false">SUMIF(Assumptions!$B$33:$B$38,A57,Assumptions!$C$33:$C$38)</f>
        <v>0</v>
      </c>
      <c r="C57" s="40" t="n">
        <f aca="false">IF($A57=Assumptions!$B$22,Assumptions!$B$21,IF($A57&lt;Assumptions!$B$24,0,IF($A57&lt;=Assumptions!$B$26,Assumptions!$B$25,IF($A57&lt;=Assumptions!$B$28,Assumptions!$B$27,Assumptions!$B$29))*Assumptions!$C$14))</f>
        <v>4</v>
      </c>
      <c r="D57" s="40" t="n">
        <f aca="false">D56*(1-Assumptions!$C$12)+C57</f>
        <v>69.4329583896668</v>
      </c>
      <c r="E57" s="41" t="n">
        <f aca="false">D57*Assumptions!$C$10*Assumptions!$C$11+IF($A57=Assumptions!$B$22,Assumptions!$B$21*Assumptions!$B$23,0)-Assumptions!$C$18-C57*Assumptions!$C$13-$B57</f>
        <v>-5017.01124831</v>
      </c>
      <c r="F57" s="41" t="n">
        <f aca="false">F56+E57</f>
        <v>-306576.78628211</v>
      </c>
      <c r="G57" s="43" t="n">
        <f aca="false">IF(AND($A57&gt;=Assumptions!$B$24,E57&gt;=0),1,0)</f>
        <v>0</v>
      </c>
      <c r="H57" s="40" t="n">
        <f aca="false">IF($A57=Assumptions!$B$22,Assumptions!$B$21,IF($A57&lt;Assumptions!$B$24,0,IF($A57&lt;=Assumptions!$B$26,Assumptions!$B$25,IF($A57&lt;=Assumptions!$B$28,Assumptions!$B$27,Assumptions!$B$29))*Assumptions!$D$14))</f>
        <v>8</v>
      </c>
      <c r="I57" s="40" t="n">
        <f aca="false">I56*(1-Assumptions!$D$12)+H57</f>
        <v>187.13040897114</v>
      </c>
      <c r="J57" s="41" t="n">
        <f aca="false">I57*Assumptions!$D$10*Assumptions!$D$11+IF($A57=Assumptions!$B$22,Assumptions!$B$21*Assumptions!$B$23,0)-Assumptions!$D$18-H57*Assumptions!$D$13-$B57</f>
        <v>-482.60966358224</v>
      </c>
      <c r="K57" s="41" t="n">
        <f aca="false">K56+J57</f>
        <v>-201095.620877508</v>
      </c>
      <c r="L57" s="43" t="n">
        <f aca="false">IF(AND($A57&gt;=Assumptions!$B$24,J57&gt;=0),1,0)</f>
        <v>0</v>
      </c>
      <c r="M57" s="40" t="n">
        <f aca="false">IF($A57=Assumptions!$B$22,Assumptions!$B$21,IF($A57&lt;Assumptions!$B$24,0,IF($A57&lt;=Assumptions!$B$26,Assumptions!$B$25,IF($A57&lt;=Assumptions!$B$28,Assumptions!$B$27,Assumptions!$B$29))*Assumptions!$E$14))</f>
        <v>12</v>
      </c>
      <c r="N57" s="40" t="n">
        <f aca="false">N56*(1-Assumptions!$E$12)+M57</f>
        <v>331.823964323551</v>
      </c>
      <c r="O57" s="41" t="n">
        <f aca="false">N57*Assumptions!$E$10*Assumptions!$E$11+IF($A57=Assumptions!$B$22,Assumptions!$B$21*Assumptions!$B$23,0)-Assumptions!$E$18-M57*Assumptions!$E$13-$B57</f>
        <v>8920.7581269864</v>
      </c>
      <c r="P57" s="41" t="n">
        <f aca="false">P56+O57</f>
        <v>432.851777666288</v>
      </c>
      <c r="Q57" s="43" t="n">
        <f aca="false">IF(AND($A57&gt;=Assumptions!$B$24,O57&gt;=0),1,0)</f>
        <v>1</v>
      </c>
      <c r="R57" s="40" t="n">
        <f aca="false">IF($A57=Assumptions!$B$22,Assumptions!$B$21,IF($A57&lt;Assumptions!$B$24,0,IF($A57&lt;=Assumptions!$B$26,Assumptions!$B$25,IF($A57&lt;=Assumptions!$B$28,Assumptions!$B$27,Assumptions!$B$29))*Assumptions!$F$14))</f>
        <v>8</v>
      </c>
      <c r="S57" s="40" t="n">
        <f aca="false">S56*(1-Assumptions!$F$12)+R57</f>
        <v>187.13040897114</v>
      </c>
      <c r="T57" s="41" t="n">
        <f aca="false">S57*Assumptions!$F$10*Assumptions!$F$11+IF($A57=Assumptions!$B$22,Assumptions!$B$21*Assumptions!$B$23,0)-Assumptions!$F$18-R57*Assumptions!$F$13-$B57</f>
        <v>3517.39033641776</v>
      </c>
      <c r="U57" s="41" t="n">
        <f aca="false">U56+T57</f>
        <v>6904.37912249229</v>
      </c>
      <c r="V57" s="43" t="n">
        <f aca="false">IF(AND($A57&gt;=Assumptions!$B$24,T57&gt;=0),1,0)</f>
        <v>1</v>
      </c>
      <c r="W57" s="40" t="n">
        <f aca="false">IF($A57=Assumptions!$B$22,Assumptions!$B$21,IF($A57&lt;Assumptions!$B$24,0,IF($A57&lt;=Assumptions!$B$26,Assumptions!$B$25,IF($A57&lt;=Assumptions!$B$28,Assumptions!$B$27,Assumptions!$B$29))*Assumptions!$G$14))</f>
        <v>8</v>
      </c>
      <c r="X57" s="40" t="n">
        <f aca="false">X56*(1-Assumptions!$G$12)+W57</f>
        <v>187.13040897114</v>
      </c>
      <c r="Y57" s="41" t="n">
        <f aca="false">X57*Assumptions!$G$10*Assumptions!$G$11+IF($A57=Assumptions!$B$22,Assumptions!$B$21*Assumptions!$B$23,0)-Assumptions!$G$18-W57*Assumptions!$G$13-$B57</f>
        <v>-482.60966358224</v>
      </c>
      <c r="Z57" s="41" t="n">
        <f aca="false">Z56+Y57</f>
        <v>-201095.620877508</v>
      </c>
      <c r="AA57" s="43" t="n">
        <f aca="false">IF(AND($A57&gt;=Assumptions!$B$24,Y57&gt;=0),1,0)</f>
        <v>0</v>
      </c>
    </row>
    <row r="58" customFormat="false" ht="15" hidden="false" customHeight="false" outlineLevel="0" collapsed="false">
      <c r="A58" s="43" t="n">
        <v>53</v>
      </c>
      <c r="B58" s="41" t="n">
        <f aca="false">SUMIF(Assumptions!$B$33:$B$38,A58,Assumptions!$C$33:$C$38)</f>
        <v>0</v>
      </c>
      <c r="C58" s="40" t="n">
        <f aca="false">IF($A58=Assumptions!$B$22,Assumptions!$B$21,IF($A58&lt;Assumptions!$B$24,0,IF($A58&lt;=Assumptions!$B$26,Assumptions!$B$25,IF($A58&lt;=Assumptions!$B$28,Assumptions!$B$27,Assumptions!$B$29))*Assumptions!$C$14))</f>
        <v>4</v>
      </c>
      <c r="D58" s="40" t="n">
        <f aca="false">D57*(1-Assumptions!$C$12)+C58</f>
        <v>69.9613104701835</v>
      </c>
      <c r="E58" s="41" t="n">
        <f aca="false">D58*Assumptions!$C$10*Assumptions!$C$11+IF($A58=Assumptions!$B$22,Assumptions!$B$21*Assumptions!$B$23,0)-Assumptions!$C$18-C58*Assumptions!$C$13-$B58</f>
        <v>-5001.1606858945</v>
      </c>
      <c r="F58" s="41" t="n">
        <f aca="false">F57+E58</f>
        <v>-311577.946968005</v>
      </c>
      <c r="G58" s="43" t="n">
        <f aca="false">IF(AND($A58&gt;=Assumptions!$B$24,E58&gt;=0),1,0)</f>
        <v>0</v>
      </c>
      <c r="H58" s="40" t="n">
        <f aca="false">IF($A58=Assumptions!$B$22,Assumptions!$B$21,IF($A58&lt;Assumptions!$B$24,0,IF($A58&lt;=Assumptions!$B$26,Assumptions!$B$25,IF($A58&lt;=Assumptions!$B$28,Assumptions!$B$27,Assumptions!$B$29))*Assumptions!$D$14))</f>
        <v>8</v>
      </c>
      <c r="I58" s="40" t="n">
        <f aca="false">I57*(1-Assumptions!$D$12)+H58</f>
        <v>189.516496702006</v>
      </c>
      <c r="J58" s="41" t="n">
        <f aca="false">I58*Assumptions!$D$10*Assumptions!$D$11+IF($A58=Assumptions!$B$22,Assumptions!$B$21*Assumptions!$B$23,0)-Assumptions!$D$18-H58*Assumptions!$D$13-$B58</f>
        <v>-393.131373674773</v>
      </c>
      <c r="K58" s="41" t="n">
        <f aca="false">K57+J58</f>
        <v>-201488.752251182</v>
      </c>
      <c r="L58" s="43" t="n">
        <f aca="false">IF(AND($A58&gt;=Assumptions!$B$24,J58&gt;=0),1,0)</f>
        <v>0</v>
      </c>
      <c r="M58" s="40" t="n">
        <f aca="false">IF($A58=Assumptions!$B$22,Assumptions!$B$21,IF($A58&lt;Assumptions!$B$24,0,IF($A58&lt;=Assumptions!$B$26,Assumptions!$B$25,IF($A58&lt;=Assumptions!$B$28,Assumptions!$B$27,Assumptions!$B$29))*Assumptions!$E$14))</f>
        <v>12</v>
      </c>
      <c r="N58" s="40" t="n">
        <f aca="false">N57*(1-Assumptions!$E$12)+M58</f>
        <v>337.18748503708</v>
      </c>
      <c r="O58" s="41" t="n">
        <f aca="false">N58*Assumptions!$E$10*Assumptions!$E$11+IF($A58=Assumptions!$B$22,Assumptions!$B$21*Assumptions!$B$23,0)-Assumptions!$E$18-M58*Assumptions!$E$13-$B58</f>
        <v>9202.34296444667</v>
      </c>
      <c r="P58" s="41" t="n">
        <f aca="false">P57+O58</f>
        <v>9635.19474211296</v>
      </c>
      <c r="Q58" s="43" t="n">
        <f aca="false">IF(AND($A58&gt;=Assumptions!$B$24,O58&gt;=0),1,0)</f>
        <v>1</v>
      </c>
      <c r="R58" s="40" t="n">
        <f aca="false">IF($A58=Assumptions!$B$22,Assumptions!$B$21,IF($A58&lt;Assumptions!$B$24,0,IF($A58&lt;=Assumptions!$B$26,Assumptions!$B$25,IF($A58&lt;=Assumptions!$B$28,Assumptions!$B$27,Assumptions!$B$29))*Assumptions!$F$14))</f>
        <v>8</v>
      </c>
      <c r="S58" s="40" t="n">
        <f aca="false">S57*(1-Assumptions!$F$12)+R58</f>
        <v>189.516496702006</v>
      </c>
      <c r="T58" s="41" t="n">
        <f aca="false">S58*Assumptions!$F$10*Assumptions!$F$11+IF($A58=Assumptions!$B$22,Assumptions!$B$21*Assumptions!$B$23,0)-Assumptions!$F$18-R58*Assumptions!$F$13-$B58</f>
        <v>3606.86862632523</v>
      </c>
      <c r="U58" s="41" t="n">
        <f aca="false">U57+T58</f>
        <v>10511.2477488175</v>
      </c>
      <c r="V58" s="43" t="n">
        <f aca="false">IF(AND($A58&gt;=Assumptions!$B$24,T58&gt;=0),1,0)</f>
        <v>1</v>
      </c>
      <c r="W58" s="40" t="n">
        <f aca="false">IF($A58=Assumptions!$B$22,Assumptions!$B$21,IF($A58&lt;Assumptions!$B$24,0,IF($A58&lt;=Assumptions!$B$26,Assumptions!$B$25,IF($A58&lt;=Assumptions!$B$28,Assumptions!$B$27,Assumptions!$B$29))*Assumptions!$G$14))</f>
        <v>8</v>
      </c>
      <c r="X58" s="40" t="n">
        <f aca="false">X57*(1-Assumptions!$G$12)+W58</f>
        <v>189.516496702006</v>
      </c>
      <c r="Y58" s="41" t="n">
        <f aca="false">X58*Assumptions!$G$10*Assumptions!$G$11+IF($A58=Assumptions!$B$22,Assumptions!$B$21*Assumptions!$B$23,0)-Assumptions!$G$18-W58*Assumptions!$G$13-$B58</f>
        <v>-393.131373674773</v>
      </c>
      <c r="Z58" s="41" t="n">
        <f aca="false">Z57+Y58</f>
        <v>-201488.752251182</v>
      </c>
      <c r="AA58" s="43" t="n">
        <f aca="false">IF(AND($A58&gt;=Assumptions!$B$24,Y58&gt;=0),1,0)</f>
        <v>0</v>
      </c>
    </row>
    <row r="59" customFormat="false" ht="15" hidden="false" customHeight="false" outlineLevel="0" collapsed="false">
      <c r="A59" s="43" t="n">
        <v>54</v>
      </c>
      <c r="B59" s="41" t="n">
        <f aca="false">SUMIF(Assumptions!$B$33:$B$38,A59,Assumptions!$C$33:$C$38)</f>
        <v>0</v>
      </c>
      <c r="C59" s="40" t="n">
        <f aca="false">IF($A59=Assumptions!$B$22,Assumptions!$B$21,IF($A59&lt;Assumptions!$B$24,0,IF($A59&lt;=Assumptions!$B$26,Assumptions!$B$25,IF($A59&lt;=Assumptions!$B$28,Assumptions!$B$27,Assumptions!$B$29))*Assumptions!$C$14))</f>
        <v>4</v>
      </c>
      <c r="D59" s="40" t="n">
        <f aca="false">D58*(1-Assumptions!$C$12)+C59</f>
        <v>70.4632449466743</v>
      </c>
      <c r="E59" s="41" t="n">
        <f aca="false">D59*Assumptions!$C$10*Assumptions!$C$11+IF($A59=Assumptions!$B$22,Assumptions!$B$21*Assumptions!$B$23,0)-Assumptions!$C$18-C59*Assumptions!$C$13-$B59</f>
        <v>-4986.10265159977</v>
      </c>
      <c r="F59" s="41" t="n">
        <f aca="false">F58+E59</f>
        <v>-316564.049619605</v>
      </c>
      <c r="G59" s="43" t="n">
        <f aca="false">IF(AND($A59&gt;=Assumptions!$B$24,E59&gt;=0),1,0)</f>
        <v>0</v>
      </c>
      <c r="H59" s="40" t="n">
        <f aca="false">IF($A59=Assumptions!$B$22,Assumptions!$B$21,IF($A59&lt;Assumptions!$B$24,0,IF($A59&lt;=Assumptions!$B$26,Assumptions!$B$25,IF($A59&lt;=Assumptions!$B$28,Assumptions!$B$27,Assumptions!$B$29))*Assumptions!$D$14))</f>
        <v>8</v>
      </c>
      <c r="I59" s="40" t="n">
        <f aca="false">I58*(1-Assumptions!$D$12)+H59</f>
        <v>191.831001800946</v>
      </c>
      <c r="J59" s="41" t="n">
        <f aca="false">I59*Assumptions!$D$10*Assumptions!$D$11+IF($A59=Assumptions!$B$22,Assumptions!$B$21*Assumptions!$B$23,0)-Assumptions!$D$18-H59*Assumptions!$D$13-$B59</f>
        <v>-306.337432464529</v>
      </c>
      <c r="K59" s="41" t="n">
        <f aca="false">K58+J59</f>
        <v>-201795.089683647</v>
      </c>
      <c r="L59" s="43" t="n">
        <f aca="false">IF(AND($A59&gt;=Assumptions!$B$24,J59&gt;=0),1,0)</f>
        <v>0</v>
      </c>
      <c r="M59" s="40" t="n">
        <f aca="false">IF($A59=Assumptions!$B$22,Assumptions!$B$21,IF($A59&lt;Assumptions!$B$24,0,IF($A59&lt;=Assumptions!$B$26,Assumptions!$B$25,IF($A59&lt;=Assumptions!$B$28,Assumptions!$B$27,Assumptions!$B$29))*Assumptions!$E$14))</f>
        <v>12</v>
      </c>
      <c r="N59" s="40" t="n">
        <f aca="false">N58*(1-Assumptions!$E$12)+M59</f>
        <v>342.443735336338</v>
      </c>
      <c r="O59" s="41" t="n">
        <f aca="false">N59*Assumptions!$E$10*Assumptions!$E$11+IF($A59=Assumptions!$B$22,Assumptions!$B$21*Assumptions!$B$23,0)-Assumptions!$E$18-M59*Assumptions!$E$13-$B59</f>
        <v>9478.29610515774</v>
      </c>
      <c r="P59" s="41" t="n">
        <f aca="false">P58+O59</f>
        <v>19113.4908472707</v>
      </c>
      <c r="Q59" s="43" t="n">
        <f aca="false">IF(AND($A59&gt;=Assumptions!$B$24,O59&gt;=0),1,0)</f>
        <v>1</v>
      </c>
      <c r="R59" s="40" t="n">
        <f aca="false">IF($A59=Assumptions!$B$22,Assumptions!$B$21,IF($A59&lt;Assumptions!$B$24,0,IF($A59&lt;=Assumptions!$B$26,Assumptions!$B$25,IF($A59&lt;=Assumptions!$B$28,Assumptions!$B$27,Assumptions!$B$29))*Assumptions!$F$14))</f>
        <v>8</v>
      </c>
      <c r="S59" s="40" t="n">
        <f aca="false">S58*(1-Assumptions!$F$12)+R59</f>
        <v>191.831001800946</v>
      </c>
      <c r="T59" s="41" t="n">
        <f aca="false">S59*Assumptions!$F$10*Assumptions!$F$11+IF($A59=Assumptions!$B$22,Assumptions!$B$21*Assumptions!$B$23,0)-Assumptions!$F$18-R59*Assumptions!$F$13-$B59</f>
        <v>3693.66256753547</v>
      </c>
      <c r="U59" s="41" t="n">
        <f aca="false">U58+T59</f>
        <v>14204.910316353</v>
      </c>
      <c r="V59" s="43" t="n">
        <f aca="false">IF(AND($A59&gt;=Assumptions!$B$24,T59&gt;=0),1,0)</f>
        <v>1</v>
      </c>
      <c r="W59" s="40" t="n">
        <f aca="false">IF($A59=Assumptions!$B$22,Assumptions!$B$21,IF($A59&lt;Assumptions!$B$24,0,IF($A59&lt;=Assumptions!$B$26,Assumptions!$B$25,IF($A59&lt;=Assumptions!$B$28,Assumptions!$B$27,Assumptions!$B$29))*Assumptions!$G$14))</f>
        <v>8</v>
      </c>
      <c r="X59" s="40" t="n">
        <f aca="false">X58*(1-Assumptions!$G$12)+W59</f>
        <v>191.831001800946</v>
      </c>
      <c r="Y59" s="41" t="n">
        <f aca="false">X59*Assumptions!$G$10*Assumptions!$G$11+IF($A59=Assumptions!$B$22,Assumptions!$B$21*Assumptions!$B$23,0)-Assumptions!$G$18-W59*Assumptions!$G$13-$B59</f>
        <v>-306.337432464529</v>
      </c>
      <c r="Z59" s="41" t="n">
        <f aca="false">Z58+Y59</f>
        <v>-201795.089683647</v>
      </c>
      <c r="AA59" s="43" t="n">
        <f aca="false">IF(AND($A59&gt;=Assumptions!$B$24,Y59&gt;=0),1,0)</f>
        <v>0</v>
      </c>
    </row>
    <row r="60" customFormat="false" ht="15" hidden="false" customHeight="false" outlineLevel="0" collapsed="false">
      <c r="A60" s="43" t="n">
        <v>55</v>
      </c>
      <c r="B60" s="41" t="n">
        <f aca="false">SUMIF(Assumptions!$B$33:$B$38,A60,Assumptions!$C$33:$C$38)</f>
        <v>0</v>
      </c>
      <c r="C60" s="40" t="n">
        <f aca="false">IF($A60=Assumptions!$B$22,Assumptions!$B$21,IF($A60&lt;Assumptions!$B$24,0,IF($A60&lt;=Assumptions!$B$26,Assumptions!$B$25,IF($A60&lt;=Assumptions!$B$28,Assumptions!$B$27,Assumptions!$B$29))*Assumptions!$C$14))</f>
        <v>4</v>
      </c>
      <c r="D60" s="40" t="n">
        <f aca="false">D59*(1-Assumptions!$C$12)+C60</f>
        <v>70.9400826993406</v>
      </c>
      <c r="E60" s="41" t="n">
        <f aca="false">D60*Assumptions!$C$10*Assumptions!$C$11+IF($A60=Assumptions!$B$22,Assumptions!$B$21*Assumptions!$B$23,0)-Assumptions!$C$18-C60*Assumptions!$C$13-$B60</f>
        <v>-4971.79751901978</v>
      </c>
      <c r="F60" s="41" t="n">
        <f aca="false">F59+E60</f>
        <v>-321535.847138624</v>
      </c>
      <c r="G60" s="43" t="n">
        <f aca="false">IF(AND($A60&gt;=Assumptions!$B$24,E60&gt;=0),1,0)</f>
        <v>0</v>
      </c>
      <c r="H60" s="40" t="n">
        <f aca="false">IF($A60=Assumptions!$B$22,Assumptions!$B$21,IF($A60&lt;Assumptions!$B$24,0,IF($A60&lt;=Assumptions!$B$26,Assumptions!$B$25,IF($A60&lt;=Assumptions!$B$28,Assumptions!$B$27,Assumptions!$B$29))*Assumptions!$D$14))</f>
        <v>8</v>
      </c>
      <c r="I60" s="40" t="n">
        <f aca="false">I59*(1-Assumptions!$D$12)+H60</f>
        <v>194.076071746917</v>
      </c>
      <c r="J60" s="41" t="n">
        <f aca="false">I60*Assumptions!$D$10*Assumptions!$D$11+IF($A60=Assumptions!$B$22,Assumptions!$B$21*Assumptions!$B$23,0)-Assumptions!$D$18-H60*Assumptions!$D$13-$B60</f>
        <v>-222.147309490594</v>
      </c>
      <c r="K60" s="41" t="n">
        <f aca="false">K59+J60</f>
        <v>-202017.236993138</v>
      </c>
      <c r="L60" s="43" t="n">
        <f aca="false">IF(AND($A60&gt;=Assumptions!$B$24,J60&gt;=0),1,0)</f>
        <v>0</v>
      </c>
      <c r="M60" s="40" t="n">
        <f aca="false">IF($A60=Assumptions!$B$22,Assumptions!$B$21,IF($A60&lt;Assumptions!$B$24,0,IF($A60&lt;=Assumptions!$B$26,Assumptions!$B$25,IF($A60&lt;=Assumptions!$B$28,Assumptions!$B$27,Assumptions!$B$29))*Assumptions!$E$14))</f>
        <v>12</v>
      </c>
      <c r="N60" s="40" t="n">
        <f aca="false">N59*(1-Assumptions!$E$12)+M60</f>
        <v>347.594860629611</v>
      </c>
      <c r="O60" s="41" t="n">
        <f aca="false">N60*Assumptions!$E$10*Assumptions!$E$11+IF($A60=Assumptions!$B$22,Assumptions!$B$21*Assumptions!$B$23,0)-Assumptions!$E$18-M60*Assumptions!$E$13-$B60</f>
        <v>9748.73018305458</v>
      </c>
      <c r="P60" s="41" t="n">
        <f aca="false">P59+O60</f>
        <v>28862.2210303253</v>
      </c>
      <c r="Q60" s="43" t="n">
        <f aca="false">IF(AND($A60&gt;=Assumptions!$B$24,O60&gt;=0),1,0)</f>
        <v>1</v>
      </c>
      <c r="R60" s="40" t="n">
        <f aca="false">IF($A60=Assumptions!$B$22,Assumptions!$B$21,IF($A60&lt;Assumptions!$B$24,0,IF($A60&lt;=Assumptions!$B$26,Assumptions!$B$25,IF($A60&lt;=Assumptions!$B$28,Assumptions!$B$27,Assumptions!$B$29))*Assumptions!$F$14))</f>
        <v>8</v>
      </c>
      <c r="S60" s="40" t="n">
        <f aca="false">S59*(1-Assumptions!$F$12)+R60</f>
        <v>194.076071746917</v>
      </c>
      <c r="T60" s="41" t="n">
        <f aca="false">S60*Assumptions!$F$10*Assumptions!$F$11+IF($A60=Assumptions!$B$22,Assumptions!$B$21*Assumptions!$B$23,0)-Assumptions!$F$18-R60*Assumptions!$F$13-$B60</f>
        <v>3777.85269050941</v>
      </c>
      <c r="U60" s="41" t="n">
        <f aca="false">U59+T60</f>
        <v>17982.7630068624</v>
      </c>
      <c r="V60" s="43" t="n">
        <f aca="false">IF(AND($A60&gt;=Assumptions!$B$24,T60&gt;=0),1,0)</f>
        <v>1</v>
      </c>
      <c r="W60" s="40" t="n">
        <f aca="false">IF($A60=Assumptions!$B$22,Assumptions!$B$21,IF($A60&lt;Assumptions!$B$24,0,IF($A60&lt;=Assumptions!$B$26,Assumptions!$B$25,IF($A60&lt;=Assumptions!$B$28,Assumptions!$B$27,Assumptions!$B$29))*Assumptions!$G$14))</f>
        <v>8</v>
      </c>
      <c r="X60" s="40" t="n">
        <f aca="false">X59*(1-Assumptions!$G$12)+W60</f>
        <v>194.076071746917</v>
      </c>
      <c r="Y60" s="41" t="n">
        <f aca="false">X60*Assumptions!$G$10*Assumptions!$G$11+IF($A60=Assumptions!$B$22,Assumptions!$B$21*Assumptions!$B$23,0)-Assumptions!$G$18-W60*Assumptions!$G$13-$B60</f>
        <v>-222.147309490594</v>
      </c>
      <c r="Z60" s="41" t="n">
        <f aca="false">Z59+Y60</f>
        <v>-202017.236993138</v>
      </c>
      <c r="AA60" s="43" t="n">
        <f aca="false">IF(AND($A60&gt;=Assumptions!$B$24,Y60&gt;=0),1,0)</f>
        <v>0</v>
      </c>
    </row>
    <row r="61" customFormat="false" ht="15" hidden="false" customHeight="false" outlineLevel="0" collapsed="false">
      <c r="A61" s="43" t="n">
        <v>56</v>
      </c>
      <c r="B61" s="41" t="n">
        <f aca="false">SUMIF(Assumptions!$B$33:$B$38,A61,Assumptions!$C$33:$C$38)</f>
        <v>0</v>
      </c>
      <c r="C61" s="40" t="n">
        <f aca="false">IF($A61=Assumptions!$B$22,Assumptions!$B$21,IF($A61&lt;Assumptions!$B$24,0,IF($A61&lt;=Assumptions!$B$26,Assumptions!$B$25,IF($A61&lt;=Assumptions!$B$28,Assumptions!$B$27,Assumptions!$B$29))*Assumptions!$C$14))</f>
        <v>4</v>
      </c>
      <c r="D61" s="40" t="n">
        <f aca="false">D60*(1-Assumptions!$C$12)+C61</f>
        <v>71.3930785643736</v>
      </c>
      <c r="E61" s="41" t="n">
        <f aca="false">D61*Assumptions!$C$10*Assumptions!$C$11+IF($A61=Assumptions!$B$22,Assumptions!$B$21*Assumptions!$B$23,0)-Assumptions!$C$18-C61*Assumptions!$C$13-$B61</f>
        <v>-4958.20764306879</v>
      </c>
      <c r="F61" s="41" t="n">
        <f aca="false">F60+E61</f>
        <v>-326494.054781693</v>
      </c>
      <c r="G61" s="43" t="n">
        <f aca="false">IF(AND($A61&gt;=Assumptions!$B$24,E61&gt;=0),1,0)</f>
        <v>0</v>
      </c>
      <c r="H61" s="40" t="n">
        <f aca="false">IF($A61=Assumptions!$B$22,Assumptions!$B$21,IF($A61&lt;Assumptions!$B$24,0,IF($A61&lt;=Assumptions!$B$26,Assumptions!$B$25,IF($A61&lt;=Assumptions!$B$28,Assumptions!$B$27,Assumptions!$B$29))*Assumptions!$D$14))</f>
        <v>8</v>
      </c>
      <c r="I61" s="40" t="n">
        <f aca="false">I60*(1-Assumptions!$D$12)+H61</f>
        <v>196.25378959451</v>
      </c>
      <c r="J61" s="41" t="n">
        <f aca="false">I61*Assumptions!$D$10*Assumptions!$D$11+IF($A61=Assumptions!$B$22,Assumptions!$B$21*Assumptions!$B$23,0)-Assumptions!$D$18-H61*Assumptions!$D$13-$B61</f>
        <v>-140.482890205877</v>
      </c>
      <c r="K61" s="41" t="n">
        <f aca="false">K60+J61</f>
        <v>-202157.719883343</v>
      </c>
      <c r="L61" s="43" t="n">
        <f aca="false">IF(AND($A61&gt;=Assumptions!$B$24,J61&gt;=0),1,0)</f>
        <v>0</v>
      </c>
      <c r="M61" s="40" t="n">
        <f aca="false">IF($A61=Assumptions!$B$22,Assumptions!$B$21,IF($A61&lt;Assumptions!$B$24,0,IF($A61&lt;=Assumptions!$B$26,Assumptions!$B$25,IF($A61&lt;=Assumptions!$B$28,Assumptions!$B$27,Assumptions!$B$29))*Assumptions!$E$14))</f>
        <v>12</v>
      </c>
      <c r="N61" s="40" t="n">
        <f aca="false">N60*(1-Assumptions!$E$12)+M61</f>
        <v>352.642963417019</v>
      </c>
      <c r="O61" s="41" t="n">
        <f aca="false">N61*Assumptions!$E$10*Assumptions!$E$11+IF($A61=Assumptions!$B$22,Assumptions!$B$21*Assumptions!$B$23,0)-Assumptions!$E$18-M61*Assumptions!$E$13-$B61</f>
        <v>10013.7555793935</v>
      </c>
      <c r="P61" s="41" t="n">
        <f aca="false">P60+O61</f>
        <v>38875.9766097188</v>
      </c>
      <c r="Q61" s="43" t="n">
        <f aca="false">IF(AND($A61&gt;=Assumptions!$B$24,O61&gt;=0),1,0)</f>
        <v>1</v>
      </c>
      <c r="R61" s="40" t="n">
        <f aca="false">IF($A61=Assumptions!$B$22,Assumptions!$B$21,IF($A61&lt;Assumptions!$B$24,0,IF($A61&lt;=Assumptions!$B$26,Assumptions!$B$25,IF($A61&lt;=Assumptions!$B$28,Assumptions!$B$27,Assumptions!$B$29))*Assumptions!$F$14))</f>
        <v>8</v>
      </c>
      <c r="S61" s="40" t="n">
        <f aca="false">S60*(1-Assumptions!$F$12)+R61</f>
        <v>196.25378959451</v>
      </c>
      <c r="T61" s="41" t="n">
        <f aca="false">S61*Assumptions!$F$10*Assumptions!$F$11+IF($A61=Assumptions!$B$22,Assumptions!$B$21*Assumptions!$B$23,0)-Assumptions!$F$18-R61*Assumptions!$F$13-$B61</f>
        <v>3859.51710979412</v>
      </c>
      <c r="U61" s="41" t="n">
        <f aca="false">U60+T61</f>
        <v>21842.2801166565</v>
      </c>
      <c r="V61" s="43" t="n">
        <f aca="false">IF(AND($A61&gt;=Assumptions!$B$24,T61&gt;=0),1,0)</f>
        <v>1</v>
      </c>
      <c r="W61" s="40" t="n">
        <f aca="false">IF($A61=Assumptions!$B$22,Assumptions!$B$21,IF($A61&lt;Assumptions!$B$24,0,IF($A61&lt;=Assumptions!$B$26,Assumptions!$B$25,IF($A61&lt;=Assumptions!$B$28,Assumptions!$B$27,Assumptions!$B$29))*Assumptions!$G$14))</f>
        <v>8</v>
      </c>
      <c r="X61" s="40" t="n">
        <f aca="false">X60*(1-Assumptions!$G$12)+W61</f>
        <v>196.25378959451</v>
      </c>
      <c r="Y61" s="41" t="n">
        <f aca="false">X61*Assumptions!$G$10*Assumptions!$G$11+IF($A61=Assumptions!$B$22,Assumptions!$B$21*Assumptions!$B$23,0)-Assumptions!$G$18-W61*Assumptions!$G$13-$B61</f>
        <v>-140.482890205877</v>
      </c>
      <c r="Z61" s="41" t="n">
        <f aca="false">Z60+Y61</f>
        <v>-202157.719883343</v>
      </c>
      <c r="AA61" s="43" t="n">
        <f aca="false">IF(AND($A61&gt;=Assumptions!$B$24,Y61&gt;=0),1,0)</f>
        <v>0</v>
      </c>
    </row>
    <row r="62" customFormat="false" ht="15" hidden="false" customHeight="false" outlineLevel="0" collapsed="false">
      <c r="A62" s="43" t="n">
        <v>57</v>
      </c>
      <c r="B62" s="41" t="n">
        <f aca="false">SUMIF(Assumptions!$B$33:$B$38,A62,Assumptions!$C$33:$C$38)</f>
        <v>0</v>
      </c>
      <c r="C62" s="40" t="n">
        <f aca="false">IF($A62=Assumptions!$B$22,Assumptions!$B$21,IF($A62&lt;Assumptions!$B$24,0,IF($A62&lt;=Assumptions!$B$26,Assumptions!$B$25,IF($A62&lt;=Assumptions!$B$28,Assumptions!$B$27,Assumptions!$B$29))*Assumptions!$C$14))</f>
        <v>4</v>
      </c>
      <c r="D62" s="40" t="n">
        <f aca="false">D61*(1-Assumptions!$C$12)+C62</f>
        <v>71.8234246361549</v>
      </c>
      <c r="E62" s="41" t="n">
        <f aca="false">D62*Assumptions!$C$10*Assumptions!$C$11+IF($A62=Assumptions!$B$22,Assumptions!$B$21*Assumptions!$B$23,0)-Assumptions!$C$18-C62*Assumptions!$C$13-$B62</f>
        <v>-4945.29726091535</v>
      </c>
      <c r="F62" s="41" t="n">
        <f aca="false">F61+E62</f>
        <v>-331439.352042608</v>
      </c>
      <c r="G62" s="43" t="n">
        <f aca="false">IF(AND($A62&gt;=Assumptions!$B$24,E62&gt;=0),1,0)</f>
        <v>0</v>
      </c>
      <c r="H62" s="40" t="n">
        <f aca="false">IF($A62=Assumptions!$B$22,Assumptions!$B$21,IF($A62&lt;Assumptions!$B$24,0,IF($A62&lt;=Assumptions!$B$26,Assumptions!$B$25,IF($A62&lt;=Assumptions!$B$28,Assumptions!$B$27,Assumptions!$B$29))*Assumptions!$D$14))</f>
        <v>8</v>
      </c>
      <c r="I62" s="40" t="n">
        <f aca="false">I61*(1-Assumptions!$D$12)+H62</f>
        <v>198.366175906675</v>
      </c>
      <c r="J62" s="41" t="n">
        <f aca="false">I62*Assumptions!$D$10*Assumptions!$D$11+IF($A62=Assumptions!$B$22,Assumptions!$B$21*Assumptions!$B$23,0)-Assumptions!$D$18-H62*Assumptions!$D$13-$B62</f>
        <v>-61.2684034997001</v>
      </c>
      <c r="K62" s="41" t="n">
        <f aca="false">K61+J62</f>
        <v>-202218.988286843</v>
      </c>
      <c r="L62" s="43" t="n">
        <f aca="false">IF(AND($A62&gt;=Assumptions!$B$24,J62&gt;=0),1,0)</f>
        <v>0</v>
      </c>
      <c r="M62" s="40" t="n">
        <f aca="false">IF($A62=Assumptions!$B$22,Assumptions!$B$21,IF($A62&lt;Assumptions!$B$24,0,IF($A62&lt;=Assumptions!$B$26,Assumptions!$B$25,IF($A62&lt;=Assumptions!$B$28,Assumptions!$B$27,Assumptions!$B$29))*Assumptions!$E$14))</f>
        <v>12</v>
      </c>
      <c r="N62" s="40" t="n">
        <f aca="false">N61*(1-Assumptions!$E$12)+M62</f>
        <v>357.590104148679</v>
      </c>
      <c r="O62" s="41" t="n">
        <f aca="false">N62*Assumptions!$E$10*Assumptions!$E$11+IF($A62=Assumptions!$B$22,Assumptions!$B$21*Assumptions!$B$23,0)-Assumptions!$E$18-M62*Assumptions!$E$13-$B62</f>
        <v>10273.4804678056</v>
      </c>
      <c r="P62" s="41" t="n">
        <f aca="false">P61+O62</f>
        <v>49149.4570775244</v>
      </c>
      <c r="Q62" s="43" t="n">
        <f aca="false">IF(AND($A62&gt;=Assumptions!$B$24,O62&gt;=0),1,0)</f>
        <v>1</v>
      </c>
      <c r="R62" s="40" t="n">
        <f aca="false">IF($A62=Assumptions!$B$22,Assumptions!$B$21,IF($A62&lt;Assumptions!$B$24,0,IF($A62&lt;=Assumptions!$B$26,Assumptions!$B$25,IF($A62&lt;=Assumptions!$B$28,Assumptions!$B$27,Assumptions!$B$29))*Assumptions!$F$14))</f>
        <v>8</v>
      </c>
      <c r="S62" s="40" t="n">
        <f aca="false">S61*(1-Assumptions!$F$12)+R62</f>
        <v>198.366175906675</v>
      </c>
      <c r="T62" s="41" t="n">
        <f aca="false">S62*Assumptions!$F$10*Assumptions!$F$11+IF($A62=Assumptions!$B$22,Assumptions!$B$21*Assumptions!$B$23,0)-Assumptions!$F$18-R62*Assumptions!$F$13-$B62</f>
        <v>3938.7315965003</v>
      </c>
      <c r="U62" s="41" t="n">
        <f aca="false">U61+T62</f>
        <v>25781.0117131568</v>
      </c>
      <c r="V62" s="43" t="n">
        <f aca="false">IF(AND($A62&gt;=Assumptions!$B$24,T62&gt;=0),1,0)</f>
        <v>1</v>
      </c>
      <c r="W62" s="40" t="n">
        <f aca="false">IF($A62=Assumptions!$B$22,Assumptions!$B$21,IF($A62&lt;Assumptions!$B$24,0,IF($A62&lt;=Assumptions!$B$26,Assumptions!$B$25,IF($A62&lt;=Assumptions!$B$28,Assumptions!$B$27,Assumptions!$B$29))*Assumptions!$G$14))</f>
        <v>8</v>
      </c>
      <c r="X62" s="40" t="n">
        <f aca="false">X61*(1-Assumptions!$G$12)+W62</f>
        <v>198.366175906675</v>
      </c>
      <c r="Y62" s="41" t="n">
        <f aca="false">X62*Assumptions!$G$10*Assumptions!$G$11+IF($A62=Assumptions!$B$22,Assumptions!$B$21*Assumptions!$B$23,0)-Assumptions!$G$18-W62*Assumptions!$G$13-$B62</f>
        <v>-61.2684034997001</v>
      </c>
      <c r="Z62" s="41" t="n">
        <f aca="false">Z61+Y62</f>
        <v>-202218.988286843</v>
      </c>
      <c r="AA62" s="43" t="n">
        <f aca="false">IF(AND($A62&gt;=Assumptions!$B$24,Y62&gt;=0),1,0)</f>
        <v>0</v>
      </c>
    </row>
    <row r="63" customFormat="false" ht="15" hidden="false" customHeight="false" outlineLevel="0" collapsed="false">
      <c r="A63" s="43" t="n">
        <v>58</v>
      </c>
      <c r="B63" s="41" t="n">
        <f aca="false">SUMIF(Assumptions!$B$33:$B$38,A63,Assumptions!$C$33:$C$38)</f>
        <v>0</v>
      </c>
      <c r="C63" s="40" t="n">
        <f aca="false">IF($A63=Assumptions!$B$22,Assumptions!$B$21,IF($A63&lt;Assumptions!$B$24,0,IF($A63&lt;=Assumptions!$B$26,Assumptions!$B$25,IF($A63&lt;=Assumptions!$B$28,Assumptions!$B$27,Assumptions!$B$29))*Assumptions!$C$14))</f>
        <v>4</v>
      </c>
      <c r="D63" s="40" t="n">
        <f aca="false">D62*(1-Assumptions!$C$12)+C63</f>
        <v>72.2322534043471</v>
      </c>
      <c r="E63" s="41" t="n">
        <f aca="false">D63*Assumptions!$C$10*Assumptions!$C$11+IF($A63=Assumptions!$B$22,Assumptions!$B$21*Assumptions!$B$23,0)-Assumptions!$C$18-C63*Assumptions!$C$13-$B63</f>
        <v>-4933.03239786959</v>
      </c>
      <c r="F63" s="41" t="n">
        <f aca="false">F62+E63</f>
        <v>-336372.384440478</v>
      </c>
      <c r="G63" s="43" t="n">
        <f aca="false">IF(AND($A63&gt;=Assumptions!$B$24,E63&gt;=0),1,0)</f>
        <v>0</v>
      </c>
      <c r="H63" s="40" t="n">
        <f aca="false">IF($A63=Assumptions!$B$22,Assumptions!$B$21,IF($A63&lt;Assumptions!$B$24,0,IF($A63&lt;=Assumptions!$B$26,Assumptions!$B$25,IF($A63&lt;=Assumptions!$B$28,Assumptions!$B$27,Assumptions!$B$29))*Assumptions!$D$14))</f>
        <v>8</v>
      </c>
      <c r="I63" s="40" t="n">
        <f aca="false">I62*(1-Assumptions!$D$12)+H63</f>
        <v>200.415190629474</v>
      </c>
      <c r="J63" s="41" t="n">
        <f aca="false">I63*Assumptions!$D$10*Assumptions!$D$11+IF($A63=Assumptions!$B$22,Assumptions!$B$21*Assumptions!$B$23,0)-Assumptions!$D$18-H63*Assumptions!$D$13-$B63</f>
        <v>15.5696486052912</v>
      </c>
      <c r="K63" s="41" t="n">
        <f aca="false">K62+J63</f>
        <v>-202203.418638238</v>
      </c>
      <c r="L63" s="43" t="n">
        <f aca="false">IF(AND($A63&gt;=Assumptions!$B$24,J63&gt;=0),1,0)</f>
        <v>1</v>
      </c>
      <c r="M63" s="40" t="n">
        <f aca="false">IF($A63=Assumptions!$B$22,Assumptions!$B$21,IF($A63&lt;Assumptions!$B$24,0,IF($A63&lt;=Assumptions!$B$26,Assumptions!$B$25,IF($A63&lt;=Assumptions!$B$28,Assumptions!$B$27,Assumptions!$B$29))*Assumptions!$E$14))</f>
        <v>12</v>
      </c>
      <c r="N63" s="40" t="n">
        <f aca="false">N62*(1-Assumptions!$E$12)+M63</f>
        <v>362.438302065705</v>
      </c>
      <c r="O63" s="41" t="n">
        <f aca="false">N63*Assumptions!$E$10*Assumptions!$E$11+IF($A63=Assumptions!$B$22,Assumptions!$B$21*Assumptions!$B$23,0)-Assumptions!$E$18-M63*Assumptions!$E$13-$B63</f>
        <v>10528.0108584495</v>
      </c>
      <c r="P63" s="41" t="n">
        <f aca="false">P62+O63</f>
        <v>59677.4679359739</v>
      </c>
      <c r="Q63" s="43" t="n">
        <f aca="false">IF(AND($A63&gt;=Assumptions!$B$24,O63&gt;=0),1,0)</f>
        <v>1</v>
      </c>
      <c r="R63" s="40" t="n">
        <f aca="false">IF($A63=Assumptions!$B$22,Assumptions!$B$21,IF($A63&lt;Assumptions!$B$24,0,IF($A63&lt;=Assumptions!$B$26,Assumptions!$B$25,IF($A63&lt;=Assumptions!$B$28,Assumptions!$B$27,Assumptions!$B$29))*Assumptions!$F$14))</f>
        <v>8</v>
      </c>
      <c r="S63" s="40" t="n">
        <f aca="false">S62*(1-Assumptions!$F$12)+R63</f>
        <v>200.415190629474</v>
      </c>
      <c r="T63" s="41" t="n">
        <f aca="false">S63*Assumptions!$F$10*Assumptions!$F$11+IF($A63=Assumptions!$B$22,Assumptions!$B$21*Assumptions!$B$23,0)-Assumptions!$F$18-R63*Assumptions!$F$13-$B63</f>
        <v>4015.56964860529</v>
      </c>
      <c r="U63" s="41" t="n">
        <f aca="false">U62+T63</f>
        <v>29796.5813617621</v>
      </c>
      <c r="V63" s="43" t="n">
        <f aca="false">IF(AND($A63&gt;=Assumptions!$B$24,T63&gt;=0),1,0)</f>
        <v>1</v>
      </c>
      <c r="W63" s="40" t="n">
        <f aca="false">IF($A63=Assumptions!$B$22,Assumptions!$B$21,IF($A63&lt;Assumptions!$B$24,0,IF($A63&lt;=Assumptions!$B$26,Assumptions!$B$25,IF($A63&lt;=Assumptions!$B$28,Assumptions!$B$27,Assumptions!$B$29))*Assumptions!$G$14))</f>
        <v>8</v>
      </c>
      <c r="X63" s="40" t="n">
        <f aca="false">X62*(1-Assumptions!$G$12)+W63</f>
        <v>200.415190629474</v>
      </c>
      <c r="Y63" s="41" t="n">
        <f aca="false">X63*Assumptions!$G$10*Assumptions!$G$11+IF($A63=Assumptions!$B$22,Assumptions!$B$21*Assumptions!$B$23,0)-Assumptions!$G$18-W63*Assumptions!$G$13-$B63</f>
        <v>15.5696486052912</v>
      </c>
      <c r="Z63" s="41" t="n">
        <f aca="false">Z62+Y63</f>
        <v>-202203.418638238</v>
      </c>
      <c r="AA63" s="43" t="n">
        <f aca="false">IF(AND($A63&gt;=Assumptions!$B$24,Y63&gt;=0),1,0)</f>
        <v>1</v>
      </c>
    </row>
    <row r="64" customFormat="false" ht="15" hidden="false" customHeight="false" outlineLevel="0" collapsed="false">
      <c r="A64" s="43" t="n">
        <v>59</v>
      </c>
      <c r="B64" s="41" t="n">
        <f aca="false">SUMIF(Assumptions!$B$33:$B$38,A64,Assumptions!$C$33:$C$38)</f>
        <v>0</v>
      </c>
      <c r="C64" s="40" t="n">
        <f aca="false">IF($A64=Assumptions!$B$22,Assumptions!$B$21,IF($A64&lt;Assumptions!$B$24,0,IF($A64&lt;=Assumptions!$B$26,Assumptions!$B$25,IF($A64&lt;=Assumptions!$B$28,Assumptions!$B$27,Assumptions!$B$29))*Assumptions!$C$14))</f>
        <v>4</v>
      </c>
      <c r="D64" s="40" t="n">
        <f aca="false">D63*(1-Assumptions!$C$12)+C64</f>
        <v>72.6206407341298</v>
      </c>
      <c r="E64" s="41" t="n">
        <f aca="false">D64*Assumptions!$C$10*Assumptions!$C$11+IF($A64=Assumptions!$B$22,Assumptions!$B$21*Assumptions!$B$23,0)-Assumptions!$C$18-C64*Assumptions!$C$13-$B64</f>
        <v>-4921.38077797611</v>
      </c>
      <c r="F64" s="41" t="n">
        <f aca="false">F63+E64</f>
        <v>-341293.765218454</v>
      </c>
      <c r="G64" s="43" t="n">
        <f aca="false">IF(AND($A64&gt;=Assumptions!$B$24,E64&gt;=0),1,0)</f>
        <v>0</v>
      </c>
      <c r="H64" s="40" t="n">
        <f aca="false">IF($A64=Assumptions!$B$22,Assumptions!$B$21,IF($A64&lt;Assumptions!$B$24,0,IF($A64&lt;=Assumptions!$B$26,Assumptions!$B$25,IF($A64&lt;=Assumptions!$B$28,Assumptions!$B$27,Assumptions!$B$29))*Assumptions!$D$14))</f>
        <v>8</v>
      </c>
      <c r="I64" s="40" t="n">
        <f aca="false">I63*(1-Assumptions!$D$12)+H64</f>
        <v>202.40273491059</v>
      </c>
      <c r="J64" s="41" t="n">
        <f aca="false">I64*Assumptions!$D$10*Assumptions!$D$11+IF($A64=Assumptions!$B$22,Assumptions!$B$21*Assumptions!$B$23,0)-Assumptions!$D$18-H64*Assumptions!$D$13-$B64</f>
        <v>90.1025591471307</v>
      </c>
      <c r="K64" s="41" t="n">
        <f aca="false">K63+J64</f>
        <v>-202113.316079091</v>
      </c>
      <c r="L64" s="43" t="n">
        <f aca="false">IF(AND($A64&gt;=Assumptions!$B$24,J64&gt;=0),1,0)</f>
        <v>1</v>
      </c>
      <c r="M64" s="40" t="n">
        <f aca="false">IF($A64=Assumptions!$B$22,Assumptions!$B$21,IF($A64&lt;Assumptions!$B$24,0,IF($A64&lt;=Assumptions!$B$26,Assumptions!$B$25,IF($A64&lt;=Assumptions!$B$28,Assumptions!$B$27,Assumptions!$B$29))*Assumptions!$E$14))</f>
        <v>12</v>
      </c>
      <c r="N64" s="40" t="n">
        <f aca="false">N63*(1-Assumptions!$E$12)+M64</f>
        <v>367.189536024391</v>
      </c>
      <c r="O64" s="41" t="n">
        <f aca="false">N64*Assumptions!$E$10*Assumptions!$E$11+IF($A64=Assumptions!$B$22,Assumptions!$B$21*Assumptions!$B$23,0)-Assumptions!$E$18-M64*Assumptions!$E$13-$B64</f>
        <v>10777.4506412805</v>
      </c>
      <c r="P64" s="41" t="n">
        <f aca="false">P63+O64</f>
        <v>70454.9185772544</v>
      </c>
      <c r="Q64" s="43" t="n">
        <f aca="false">IF(AND($A64&gt;=Assumptions!$B$24,O64&gt;=0),1,0)</f>
        <v>1</v>
      </c>
      <c r="R64" s="40" t="n">
        <f aca="false">IF($A64=Assumptions!$B$22,Assumptions!$B$21,IF($A64&lt;Assumptions!$B$24,0,IF($A64&lt;=Assumptions!$B$26,Assumptions!$B$25,IF($A64&lt;=Assumptions!$B$28,Assumptions!$B$27,Assumptions!$B$29))*Assumptions!$F$14))</f>
        <v>8</v>
      </c>
      <c r="S64" s="40" t="n">
        <f aca="false">S63*(1-Assumptions!$F$12)+R64</f>
        <v>202.40273491059</v>
      </c>
      <c r="T64" s="41" t="n">
        <f aca="false">S64*Assumptions!$F$10*Assumptions!$F$11+IF($A64=Assumptions!$B$22,Assumptions!$B$21*Assumptions!$B$23,0)-Assumptions!$F$18-R64*Assumptions!$F$13-$B64</f>
        <v>4090.10255914713</v>
      </c>
      <c r="U64" s="41" t="n">
        <f aca="false">U63+T64</f>
        <v>33886.6839209092</v>
      </c>
      <c r="V64" s="43" t="n">
        <f aca="false">IF(AND($A64&gt;=Assumptions!$B$24,T64&gt;=0),1,0)</f>
        <v>1</v>
      </c>
      <c r="W64" s="40" t="n">
        <f aca="false">IF($A64=Assumptions!$B$22,Assumptions!$B$21,IF($A64&lt;Assumptions!$B$24,0,IF($A64&lt;=Assumptions!$B$26,Assumptions!$B$25,IF($A64&lt;=Assumptions!$B$28,Assumptions!$B$27,Assumptions!$B$29))*Assumptions!$G$14))</f>
        <v>8</v>
      </c>
      <c r="X64" s="40" t="n">
        <f aca="false">X63*(1-Assumptions!$G$12)+W64</f>
        <v>202.40273491059</v>
      </c>
      <c r="Y64" s="41" t="n">
        <f aca="false">X64*Assumptions!$G$10*Assumptions!$G$11+IF($A64=Assumptions!$B$22,Assumptions!$B$21*Assumptions!$B$23,0)-Assumptions!$G$18-W64*Assumptions!$G$13-$B64</f>
        <v>90.1025591471307</v>
      </c>
      <c r="Z64" s="41" t="n">
        <f aca="false">Z63+Y64</f>
        <v>-202113.316079091</v>
      </c>
      <c r="AA64" s="43" t="n">
        <f aca="false">IF(AND($A64&gt;=Assumptions!$B$24,Y64&gt;=0),1,0)</f>
        <v>1</v>
      </c>
    </row>
    <row r="65" customFormat="false" ht="15" hidden="false" customHeight="false" outlineLevel="0" collapsed="false">
      <c r="A65" s="43" t="n">
        <v>60</v>
      </c>
      <c r="B65" s="41" t="n">
        <f aca="false">SUMIF(Assumptions!$B$33:$B$38,A65,Assumptions!$C$33:$C$38)</f>
        <v>0</v>
      </c>
      <c r="C65" s="40" t="n">
        <f aca="false">IF($A65=Assumptions!$B$22,Assumptions!$B$21,IF($A65&lt;Assumptions!$B$24,0,IF($A65&lt;=Assumptions!$B$26,Assumptions!$B$25,IF($A65&lt;=Assumptions!$B$28,Assumptions!$B$27,Assumptions!$B$29))*Assumptions!$C$14))</f>
        <v>4</v>
      </c>
      <c r="D65" s="40" t="n">
        <f aca="false">D64*(1-Assumptions!$C$12)+C65</f>
        <v>72.9896086974233</v>
      </c>
      <c r="E65" s="41" t="n">
        <f aca="false">D65*Assumptions!$C$10*Assumptions!$C$11+IF($A65=Assumptions!$B$22,Assumptions!$B$21*Assumptions!$B$23,0)-Assumptions!$C$18-C65*Assumptions!$C$13-$B65</f>
        <v>-4910.3117390773</v>
      </c>
      <c r="F65" s="41" t="n">
        <f aca="false">F64+E65</f>
        <v>-346204.076957531</v>
      </c>
      <c r="G65" s="43" t="n">
        <f aca="false">IF(AND($A65&gt;=Assumptions!$B$24,E65&gt;=0),1,0)</f>
        <v>0</v>
      </c>
      <c r="H65" s="40" t="n">
        <f aca="false">IF($A65=Assumptions!$B$22,Assumptions!$B$21,IF($A65&lt;Assumptions!$B$24,0,IF($A65&lt;=Assumptions!$B$26,Assumptions!$B$25,IF($A65&lt;=Assumptions!$B$28,Assumptions!$B$27,Assumptions!$B$29))*Assumptions!$D$14))</f>
        <v>8</v>
      </c>
      <c r="I65" s="40" t="n">
        <f aca="false">I64*(1-Assumptions!$D$12)+H65</f>
        <v>204.330652863272</v>
      </c>
      <c r="J65" s="41" t="n">
        <f aca="false">I65*Assumptions!$D$10*Assumptions!$D$11+IF($A65=Assumptions!$B$22,Assumptions!$B$21*Assumptions!$B$23,0)-Assumptions!$D$18-H65*Assumptions!$D$13-$B65</f>
        <v>162.399482372718</v>
      </c>
      <c r="K65" s="41" t="n">
        <f aca="false">K64+J65</f>
        <v>-201950.916596718</v>
      </c>
      <c r="L65" s="43" t="n">
        <f aca="false">IF(AND($A65&gt;=Assumptions!$B$24,J65&gt;=0),1,0)</f>
        <v>1</v>
      </c>
      <c r="M65" s="40" t="n">
        <f aca="false">IF($A65=Assumptions!$B$22,Assumptions!$B$21,IF($A65&lt;Assumptions!$B$24,0,IF($A65&lt;=Assumptions!$B$26,Assumptions!$B$25,IF($A65&lt;=Assumptions!$B$28,Assumptions!$B$27,Assumptions!$B$29))*Assumptions!$E$14))</f>
        <v>12</v>
      </c>
      <c r="N65" s="40" t="n">
        <f aca="false">N64*(1-Assumptions!$E$12)+M65</f>
        <v>371.845745303903</v>
      </c>
      <c r="O65" s="41" t="n">
        <f aca="false">N65*Assumptions!$E$10*Assumptions!$E$11+IF($A65=Assumptions!$B$22,Assumptions!$B$21*Assumptions!$B$23,0)-Assumptions!$E$18-M65*Assumptions!$E$13-$B65</f>
        <v>11021.9016284549</v>
      </c>
      <c r="P65" s="41" t="n">
        <f aca="false">P64+O65</f>
        <v>81476.8202057093</v>
      </c>
      <c r="Q65" s="43" t="n">
        <f aca="false">IF(AND($A65&gt;=Assumptions!$B$24,O65&gt;=0),1,0)</f>
        <v>1</v>
      </c>
      <c r="R65" s="40" t="n">
        <f aca="false">IF($A65=Assumptions!$B$22,Assumptions!$B$21,IF($A65&lt;Assumptions!$B$24,0,IF($A65&lt;=Assumptions!$B$26,Assumptions!$B$25,IF($A65&lt;=Assumptions!$B$28,Assumptions!$B$27,Assumptions!$B$29))*Assumptions!$F$14))</f>
        <v>8</v>
      </c>
      <c r="S65" s="40" t="n">
        <f aca="false">S64*(1-Assumptions!$F$12)+R65</f>
        <v>204.330652863272</v>
      </c>
      <c r="T65" s="41" t="n">
        <f aca="false">S65*Assumptions!$F$10*Assumptions!$F$11+IF($A65=Assumptions!$B$22,Assumptions!$B$21*Assumptions!$B$23,0)-Assumptions!$F$18-R65*Assumptions!$F$13-$B65</f>
        <v>4162.39948237272</v>
      </c>
      <c r="U65" s="41" t="n">
        <f aca="false">U64+T65</f>
        <v>38049.083403282</v>
      </c>
      <c r="V65" s="43" t="n">
        <f aca="false">IF(AND($A65&gt;=Assumptions!$B$24,T65&gt;=0),1,0)</f>
        <v>1</v>
      </c>
      <c r="W65" s="40" t="n">
        <f aca="false">IF($A65=Assumptions!$B$22,Assumptions!$B$21,IF($A65&lt;Assumptions!$B$24,0,IF($A65&lt;=Assumptions!$B$26,Assumptions!$B$25,IF($A65&lt;=Assumptions!$B$28,Assumptions!$B$27,Assumptions!$B$29))*Assumptions!$G$14))</f>
        <v>8</v>
      </c>
      <c r="X65" s="40" t="n">
        <f aca="false">X64*(1-Assumptions!$G$12)+W65</f>
        <v>204.330652863272</v>
      </c>
      <c r="Y65" s="41" t="n">
        <f aca="false">X65*Assumptions!$G$10*Assumptions!$G$11+IF($A65=Assumptions!$B$22,Assumptions!$B$21*Assumptions!$B$23,0)-Assumptions!$G$18-W65*Assumptions!$G$13-$B65</f>
        <v>162.399482372718</v>
      </c>
      <c r="Z65" s="41" t="n">
        <f aca="false">Z64+Y65</f>
        <v>-201950.916596718</v>
      </c>
      <c r="AA65" s="43" t="n">
        <f aca="false">IF(AND($A65&gt;=Assumptions!$B$24,Y65&gt;=0),1,0)</f>
        <v>1</v>
      </c>
    </row>
  </sheetData>
  <mergeCells count="5">
    <mergeCell ref="C3:G3"/>
    <mergeCell ref="H3:L3"/>
    <mergeCell ref="M3:Q3"/>
    <mergeCell ref="R3:V3"/>
    <mergeCell ref="W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2026-09-29T23:18:49Z</dcterms:created>
  <dc:creator>openpyxl</dc:creator>
  <dc:description/>
  <dc:language>en-US</dc:language>
  <cp:lastModifiedBy/>
  <dcterms:modified xsi:type="dcterms:W3CDTF">2026-09-29T23:18:51Z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